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_SVN\Projektarbeit_HS2015\Firmware\EM8500\"/>
    </mc:Choice>
  </mc:AlternateContent>
  <workbookProtection workbookPassword="9051" lockStructure="1"/>
  <bookViews>
    <workbookView xWindow="0" yWindow="4800" windowWidth="21570" windowHeight="7995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T77" i="14" l="1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W78" i="14" l="1"/>
  <c r="Z78" i="14" s="1"/>
  <c r="V78" i="14"/>
  <c r="Y77" i="14"/>
  <c r="T175" i="14"/>
  <c r="S175" i="14"/>
  <c r="W79" i="14" l="1"/>
  <c r="W80" i="14" s="1"/>
  <c r="V79" i="14"/>
  <c r="Y78" i="14"/>
  <c r="Z79" i="14" l="1"/>
  <c r="V80" i="14"/>
  <c r="Y79" i="14"/>
  <c r="Z80" i="14"/>
  <c r="W81" i="14"/>
  <c r="V81" i="14" l="1"/>
  <c r="Y80" i="14"/>
  <c r="W82" i="14"/>
  <c r="Z81" i="14"/>
  <c r="V82" i="14" l="1"/>
  <c r="Y81" i="14"/>
  <c r="W83" i="14"/>
  <c r="Z82" i="14"/>
  <c r="V83" i="14" l="1"/>
  <c r="Y82" i="14"/>
  <c r="W84" i="14"/>
  <c r="Z83" i="14"/>
  <c r="V84" i="14" l="1"/>
  <c r="Y83" i="14"/>
  <c r="Z84" i="14"/>
  <c r="W85" i="14"/>
  <c r="V85" i="14" l="1"/>
  <c r="Y84" i="14"/>
  <c r="W86" i="14"/>
  <c r="Z85" i="14"/>
  <c r="V86" i="14" l="1"/>
  <c r="Y85" i="14"/>
  <c r="Z86" i="14"/>
  <c r="W87" i="14"/>
  <c r="Y86" i="14" l="1"/>
  <c r="V87" i="14"/>
  <c r="W88" i="14"/>
  <c r="Z87" i="14"/>
  <c r="V88" i="14" l="1"/>
  <c r="Y87" i="14"/>
  <c r="W89" i="14"/>
  <c r="Z88" i="14"/>
  <c r="V89" i="14" l="1"/>
  <c r="Y88" i="14"/>
  <c r="W90" i="14"/>
  <c r="Z89" i="14"/>
  <c r="V90" i="14" l="1"/>
  <c r="Y89" i="14"/>
  <c r="W91" i="14"/>
  <c r="Z90" i="14"/>
  <c r="V91" i="14" l="1"/>
  <c r="Y90" i="14"/>
  <c r="W92" i="14"/>
  <c r="Z91" i="14"/>
  <c r="V92" i="14" l="1"/>
  <c r="Y91" i="14"/>
  <c r="W93" i="14"/>
  <c r="Z92" i="14"/>
  <c r="V93" i="14" l="1"/>
  <c r="Y92" i="14"/>
  <c r="W94" i="14"/>
  <c r="Z93" i="14"/>
  <c r="V94" i="14" l="1"/>
  <c r="Y93" i="14"/>
  <c r="Z94" i="14"/>
  <c r="W95" i="14"/>
  <c r="V95" i="14" l="1"/>
  <c r="Y94" i="14"/>
  <c r="W96" i="14"/>
  <c r="Z95" i="14"/>
  <c r="V96" i="14" l="1"/>
  <c r="Y95" i="14"/>
  <c r="Z96" i="14"/>
  <c r="W97" i="14"/>
  <c r="V97" i="14" l="1"/>
  <c r="Y96" i="14"/>
  <c r="Z97" i="14"/>
  <c r="W98" i="14"/>
  <c r="V98" i="14" l="1"/>
  <c r="Y97" i="14"/>
  <c r="Z98" i="14"/>
  <c r="W99" i="14"/>
  <c r="V99" i="14" l="1"/>
  <c r="Y98" i="14"/>
  <c r="Z99" i="14"/>
  <c r="W100" i="14"/>
  <c r="V100" i="14" l="1"/>
  <c r="Y99" i="14"/>
  <c r="W101" i="14"/>
  <c r="Z100" i="14"/>
  <c r="V101" i="14" l="1"/>
  <c r="Y100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J375" i="14" l="1"/>
  <c r="J373" i="14"/>
  <c r="J334" i="14"/>
  <c r="J311" i="14"/>
  <c r="J328" i="14"/>
  <c r="J319" i="14"/>
  <c r="J370" i="14"/>
  <c r="J340" i="14"/>
  <c r="J348" i="14"/>
  <c r="J331" i="14"/>
  <c r="J369" i="14"/>
  <c r="J372" i="14"/>
  <c r="J336" i="14"/>
  <c r="J355" i="14"/>
  <c r="J322" i="14"/>
  <c r="J329" i="14"/>
  <c r="J337" i="14"/>
  <c r="J302" i="14"/>
  <c r="J357" i="14"/>
  <c r="J303" i="14"/>
  <c r="J315" i="14"/>
  <c r="J345" i="14"/>
  <c r="J306" i="14"/>
  <c r="J316" i="14"/>
  <c r="J347" i="14"/>
  <c r="J305" i="14"/>
  <c r="J307" i="14"/>
  <c r="J358" i="14"/>
  <c r="J325" i="14"/>
  <c r="J371" i="14"/>
  <c r="J343" i="14"/>
  <c r="J352" i="14"/>
  <c r="J346" i="14"/>
  <c r="J318" i="14"/>
  <c r="J312" i="14"/>
  <c r="J332" i="14"/>
  <c r="J330" i="14"/>
  <c r="J368" i="14"/>
  <c r="J376" i="14"/>
  <c r="J310" i="14"/>
  <c r="J324" i="14"/>
  <c r="J344" i="14"/>
  <c r="J359" i="14"/>
  <c r="J327" i="14"/>
  <c r="J301" i="14"/>
  <c r="J362" i="14"/>
  <c r="J341" i="14"/>
  <c r="J350" i="14"/>
  <c r="J338" i="14"/>
  <c r="J351" i="14"/>
  <c r="J339" i="14"/>
  <c r="J314" i="14"/>
  <c r="J367" i="14"/>
  <c r="J374" i="14"/>
  <c r="J354" i="14"/>
  <c r="J353" i="14"/>
  <c r="J326" i="14"/>
  <c r="J321" i="14"/>
  <c r="J365" i="14"/>
  <c r="J317" i="14"/>
  <c r="J349" i="14"/>
  <c r="J360" i="14"/>
  <c r="J323" i="14"/>
  <c r="J356" i="14"/>
  <c r="J335" i="14"/>
  <c r="J313" i="14"/>
  <c r="J364" i="14"/>
  <c r="J320" i="14"/>
  <c r="J309" i="14"/>
  <c r="J308" i="14"/>
  <c r="J361" i="14"/>
  <c r="J366" i="14"/>
  <c r="J333" i="14"/>
  <c r="J363" i="14"/>
  <c r="J342" i="14"/>
  <c r="J304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F76" i="11" l="1"/>
  <c r="J77" i="14" l="1"/>
  <c r="J78" i="14" l="1"/>
  <c r="J79" i="14" l="1"/>
  <c r="J80" i="14" l="1"/>
  <c r="J81" i="14" l="1"/>
  <c r="J82" i="14" l="1"/>
  <c r="J83" i="14" l="1"/>
  <c r="J84" i="14" l="1"/>
  <c r="J85" i="14" l="1"/>
  <c r="J86" i="14" l="1"/>
  <c r="J87" i="14" l="1"/>
  <c r="J88" i="14" l="1"/>
  <c r="J89" i="14" l="1"/>
  <c r="J90" i="14" l="1"/>
  <c r="J91" i="14" l="1"/>
  <c r="J92" i="14" l="1"/>
  <c r="J93" i="14" l="1"/>
  <c r="J94" i="14" l="1"/>
  <c r="J95" i="14" l="1"/>
  <c r="J96" i="14" l="1"/>
  <c r="J97" i="14" l="1"/>
  <c r="J98" i="14" l="1"/>
  <c r="J99" i="14" l="1"/>
  <c r="J100" i="14" l="1"/>
  <c r="J101" i="14" l="1"/>
  <c r="J102" i="14" l="1"/>
  <c r="J103" i="14" l="1"/>
  <c r="J104" i="14" l="1"/>
  <c r="J105" i="14" l="1"/>
  <c r="J106" i="14" l="1"/>
  <c r="J107" i="14" l="1"/>
  <c r="J108" i="14" l="1"/>
  <c r="J109" i="14" l="1"/>
  <c r="J110" i="14" l="1"/>
  <c r="J111" i="14" l="1"/>
  <c r="J112" i="14" l="1"/>
  <c r="J113" i="14" l="1"/>
  <c r="J114" i="14" l="1"/>
  <c r="J115" i="14" l="1"/>
  <c r="J116" i="14" l="1"/>
  <c r="J117" i="14" l="1"/>
  <c r="J118" i="14" l="1"/>
  <c r="J119" i="14" l="1"/>
  <c r="J120" i="14" l="1"/>
  <c r="J121" i="14" l="1"/>
  <c r="J122" i="14" l="1"/>
  <c r="J123" i="14" l="1"/>
  <c r="J124" i="14" l="1"/>
  <c r="J125" i="14" l="1"/>
  <c r="J126" i="14" l="1"/>
  <c r="J127" i="14" l="1"/>
  <c r="J128" i="14" l="1"/>
  <c r="J129" i="14" l="1"/>
  <c r="J130" i="14" l="1"/>
  <c r="J131" i="14" l="1"/>
  <c r="J132" i="14" l="1"/>
  <c r="J133" i="14" l="1"/>
  <c r="J134" i="14" l="1"/>
  <c r="J135" i="14" l="1"/>
  <c r="J136" i="14" l="1"/>
  <c r="J137" i="14" l="1"/>
  <c r="J138" i="14" l="1"/>
  <c r="J139" i="14" l="1"/>
  <c r="J140" i="14" l="1"/>
  <c r="J141" i="14" l="1"/>
  <c r="J142" i="14" l="1"/>
  <c r="J143" i="14" l="1"/>
  <c r="J144" i="14" l="1"/>
  <c r="J145" i="14" l="1"/>
  <c r="J146" i="14" l="1"/>
  <c r="J147" i="14" l="1"/>
  <c r="J148" i="14" l="1"/>
  <c r="J149" i="14" l="1"/>
  <c r="J150" i="14" l="1"/>
  <c r="J151" i="14" l="1"/>
  <c r="J152" i="14" l="1"/>
  <c r="J153" i="14" l="1"/>
  <c r="J154" i="14" l="1"/>
  <c r="J155" i="14" l="1"/>
  <c r="J156" i="14" l="1"/>
  <c r="J157" i="14" l="1"/>
  <c r="J158" i="14" l="1"/>
  <c r="J159" i="14" l="1"/>
  <c r="J160" i="14" l="1"/>
  <c r="J161" i="14" l="1"/>
  <c r="J162" i="14" l="1"/>
  <c r="J163" i="14" l="1"/>
  <c r="J164" i="14" l="1"/>
  <c r="J165" i="14" l="1"/>
  <c r="J166" i="14" l="1"/>
  <c r="J167" i="14" l="1"/>
  <c r="J168" i="14" l="1"/>
  <c r="J169" i="14" l="1"/>
  <c r="J170" i="14" l="1"/>
  <c r="J171" i="14" l="1"/>
  <c r="J172" i="14" l="1"/>
  <c r="J173" i="14" l="1"/>
  <c r="J174" i="14" l="1"/>
  <c r="J175" i="14" l="1"/>
  <c r="B73" i="11" l="1"/>
  <c r="H73" i="11" s="1"/>
  <c r="E73" i="11" l="1"/>
  <c r="D16" i="12" s="1"/>
  <c r="G16" i="12" s="1"/>
  <c r="B13" i="14"/>
  <c r="H16" i="12" l="1"/>
  <c r="B14" i="13"/>
  <c r="D9" i="14"/>
  <c r="G39" i="14"/>
  <c r="A13" i="14"/>
  <c r="D14" i="14" l="1"/>
  <c r="D17" i="14" s="1"/>
  <c r="D12" i="14"/>
  <c r="D11" i="14"/>
  <c r="G45" i="14"/>
  <c r="G49" i="14" s="1"/>
  <c r="L16" i="12"/>
  <c r="I16" i="12"/>
  <c r="G55" i="14" l="1"/>
  <c r="C187" i="14"/>
  <c r="I187" i="14" s="1"/>
  <c r="C190" i="14"/>
  <c r="I190" i="14" s="1"/>
  <c r="C179" i="14"/>
  <c r="I179" i="14" s="1"/>
  <c r="C185" i="14"/>
  <c r="I185" i="14" s="1"/>
  <c r="C177" i="14"/>
  <c r="I177" i="14" s="1"/>
  <c r="C199" i="14"/>
  <c r="I199" i="14" s="1"/>
  <c r="C184" i="14"/>
  <c r="I184" i="14" s="1"/>
  <c r="C197" i="14"/>
  <c r="I197" i="14" s="1"/>
  <c r="C186" i="14"/>
  <c r="I186" i="14" s="1"/>
  <c r="C194" i="14"/>
  <c r="I194" i="14" s="1"/>
  <c r="C183" i="14"/>
  <c r="I183" i="14" s="1"/>
  <c r="C195" i="14"/>
  <c r="I195" i="14" s="1"/>
  <c r="C189" i="14"/>
  <c r="I189" i="14" s="1"/>
  <c r="C188" i="14"/>
  <c r="I188" i="14" s="1"/>
  <c r="C200" i="14"/>
  <c r="I200" i="14" s="1"/>
  <c r="C198" i="14"/>
  <c r="I198" i="14" s="1"/>
  <c r="C182" i="14"/>
  <c r="I182" i="14" s="1"/>
  <c r="C178" i="14"/>
  <c r="I178" i="14" s="1"/>
  <c r="C180" i="14"/>
  <c r="I180" i="14" s="1"/>
  <c r="C191" i="14"/>
  <c r="I191" i="14" s="1"/>
  <c r="C192" i="14"/>
  <c r="I192" i="14" s="1"/>
  <c r="C176" i="14"/>
  <c r="I176" i="14" s="1"/>
  <c r="C196" i="14"/>
  <c r="I196" i="14" s="1"/>
  <c r="C193" i="14"/>
  <c r="I193" i="14" s="1"/>
  <c r="C181" i="14"/>
  <c r="I181" i="14" s="1"/>
  <c r="D22" i="14"/>
  <c r="B66" i="11"/>
  <c r="H66" i="11" s="1"/>
  <c r="I175" i="14"/>
  <c r="I174" i="14"/>
  <c r="R174" i="14" s="1"/>
  <c r="I173" i="14"/>
  <c r="N173" i="14" s="1"/>
  <c r="I172" i="14"/>
  <c r="N172" i="14" s="1"/>
  <c r="I171" i="14"/>
  <c r="I170" i="14"/>
  <c r="I169" i="14"/>
  <c r="I168" i="14"/>
  <c r="N168" i="14" s="1"/>
  <c r="I167" i="14"/>
  <c r="I166" i="14"/>
  <c r="N166" i="14" s="1"/>
  <c r="I165" i="14"/>
  <c r="N165" i="14" s="1"/>
  <c r="I164" i="14"/>
  <c r="N164" i="14" s="1"/>
  <c r="I163" i="14"/>
  <c r="I162" i="14"/>
  <c r="I161" i="14"/>
  <c r="I160" i="14"/>
  <c r="R160" i="14" s="1"/>
  <c r="I159" i="14"/>
  <c r="I158" i="14"/>
  <c r="R158" i="14" s="1"/>
  <c r="I157" i="14"/>
  <c r="N157" i="14" s="1"/>
  <c r="I156" i="14"/>
  <c r="N156" i="14" s="1"/>
  <c r="I155" i="14"/>
  <c r="I154" i="14"/>
  <c r="I153" i="14"/>
  <c r="I152" i="14"/>
  <c r="I151" i="14"/>
  <c r="I150" i="14"/>
  <c r="R150" i="14" s="1"/>
  <c r="I149" i="14"/>
  <c r="N149" i="14" s="1"/>
  <c r="I148" i="14"/>
  <c r="N148" i="14" s="1"/>
  <c r="I147" i="14"/>
  <c r="I146" i="14"/>
  <c r="I145" i="14"/>
  <c r="I144" i="14"/>
  <c r="N144" i="14" s="1"/>
  <c r="I143" i="14"/>
  <c r="I142" i="14"/>
  <c r="N142" i="14" s="1"/>
  <c r="I141" i="14"/>
  <c r="N141" i="14" s="1"/>
  <c r="I140" i="14"/>
  <c r="N140" i="14" s="1"/>
  <c r="I139" i="14"/>
  <c r="I138" i="14"/>
  <c r="I137" i="14"/>
  <c r="I136" i="14"/>
  <c r="N136" i="14" s="1"/>
  <c r="I135" i="14"/>
  <c r="I134" i="14"/>
  <c r="N134" i="14" s="1"/>
  <c r="I133" i="14"/>
  <c r="R133" i="14" s="1"/>
  <c r="I132" i="14"/>
  <c r="N132" i="14" s="1"/>
  <c r="I131" i="14"/>
  <c r="I130" i="14"/>
  <c r="I129" i="14"/>
  <c r="I128" i="14"/>
  <c r="N128" i="14" s="1"/>
  <c r="I127" i="14"/>
  <c r="I126" i="14"/>
  <c r="R126" i="14" s="1"/>
  <c r="I125" i="14"/>
  <c r="R125" i="14" s="1"/>
  <c r="I124" i="14"/>
  <c r="R124" i="14" s="1"/>
  <c r="I123" i="14"/>
  <c r="I122" i="14"/>
  <c r="N122" i="14" s="1"/>
  <c r="I121" i="14"/>
  <c r="I120" i="14"/>
  <c r="N120" i="14" s="1"/>
  <c r="I119" i="14"/>
  <c r="I118" i="14"/>
  <c r="N118" i="14" s="1"/>
  <c r="I117" i="14"/>
  <c r="R117" i="14" s="1"/>
  <c r="I116" i="14"/>
  <c r="N116" i="14" s="1"/>
  <c r="I115" i="14"/>
  <c r="I114" i="14"/>
  <c r="I113" i="14"/>
  <c r="N113" i="14" s="1"/>
  <c r="I112" i="14"/>
  <c r="R112" i="14" s="1"/>
  <c r="I111" i="14"/>
  <c r="I110" i="14"/>
  <c r="R110" i="14" s="1"/>
  <c r="I109" i="14"/>
  <c r="N109" i="14" s="1"/>
  <c r="I108" i="14"/>
  <c r="N108" i="14" s="1"/>
  <c r="I107" i="14"/>
  <c r="I106" i="14"/>
  <c r="N106" i="14" s="1"/>
  <c r="I105" i="14"/>
  <c r="N105" i="14" s="1"/>
  <c r="I104" i="14"/>
  <c r="R104" i="14" s="1"/>
  <c r="I103" i="14"/>
  <c r="N103" i="14" s="1"/>
  <c r="I102" i="14"/>
  <c r="N102" i="14" s="1"/>
  <c r="I101" i="14"/>
  <c r="N101" i="14" s="1"/>
  <c r="I100" i="14"/>
  <c r="N100" i="14" s="1"/>
  <c r="I99" i="14"/>
  <c r="N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N88" i="14" s="1"/>
  <c r="I87" i="14"/>
  <c r="N87" i="14" s="1"/>
  <c r="I86" i="14"/>
  <c r="N86" i="14" s="1"/>
  <c r="I85" i="14"/>
  <c r="N85" i="14" s="1"/>
  <c r="I84" i="14"/>
  <c r="N84" i="14" s="1"/>
  <c r="I83" i="14"/>
  <c r="N83" i="14" s="1"/>
  <c r="I82" i="14"/>
  <c r="N82" i="14" s="1"/>
  <c r="I81" i="14"/>
  <c r="N81" i="14" s="1"/>
  <c r="I80" i="14"/>
  <c r="N80" i="14" s="1"/>
  <c r="I79" i="14"/>
  <c r="N79" i="14" s="1"/>
  <c r="I78" i="14"/>
  <c r="R78" i="14" s="1"/>
  <c r="I77" i="14"/>
  <c r="R77" i="14" s="1"/>
  <c r="N107" i="14"/>
  <c r="N111" i="14"/>
  <c r="N114" i="14"/>
  <c r="N115" i="14"/>
  <c r="N119" i="14"/>
  <c r="N121" i="14"/>
  <c r="N123" i="14"/>
  <c r="N127" i="14"/>
  <c r="N129" i="14"/>
  <c r="N130" i="14"/>
  <c r="N131" i="14"/>
  <c r="N135" i="14"/>
  <c r="N137" i="14"/>
  <c r="N138" i="14"/>
  <c r="N139" i="14"/>
  <c r="N143" i="14"/>
  <c r="N145" i="14"/>
  <c r="N146" i="14"/>
  <c r="N147" i="14"/>
  <c r="N150" i="14"/>
  <c r="N151" i="14"/>
  <c r="N152" i="14"/>
  <c r="N153" i="14"/>
  <c r="N154" i="14"/>
  <c r="N155" i="14"/>
  <c r="N159" i="14"/>
  <c r="N161" i="14"/>
  <c r="N162" i="14"/>
  <c r="N163" i="14"/>
  <c r="N167" i="14"/>
  <c r="N169" i="14"/>
  <c r="N170" i="14"/>
  <c r="N171" i="14"/>
  <c r="N174" i="14"/>
  <c r="N175" i="14"/>
  <c r="F66" i="11"/>
  <c r="F73" i="11"/>
  <c r="E4" i="11" s="1"/>
  <c r="R175" i="14"/>
  <c r="J176" i="14"/>
  <c r="J201" i="14"/>
  <c r="J194" i="14"/>
  <c r="J200" i="14"/>
  <c r="J198" i="14"/>
  <c r="J192" i="14"/>
  <c r="J180" i="14"/>
  <c r="J186" i="14"/>
  <c r="J185" i="14"/>
  <c r="J182" i="14"/>
  <c r="J188" i="14"/>
  <c r="J183" i="14"/>
  <c r="J177" i="14"/>
  <c r="J190" i="14"/>
  <c r="J178" i="14"/>
  <c r="J181" i="14"/>
  <c r="J193" i="14"/>
  <c r="J189" i="14"/>
  <c r="J199" i="14"/>
  <c r="J196" i="14"/>
  <c r="J184" i="14"/>
  <c r="J197" i="14"/>
  <c r="J191" i="14"/>
  <c r="J195" i="14"/>
  <c r="J187" i="14"/>
  <c r="J179" i="14"/>
  <c r="R114" i="14"/>
  <c r="R102" i="14"/>
  <c r="R154" i="14"/>
  <c r="R82" i="14"/>
  <c r="R171" i="14"/>
  <c r="R119" i="14"/>
  <c r="R129" i="14"/>
  <c r="R159" i="14"/>
  <c r="R135" i="14"/>
  <c r="R169" i="14"/>
  <c r="R167" i="14"/>
  <c r="R95" i="14"/>
  <c r="R113" i="14"/>
  <c r="R81" i="14"/>
  <c r="R168" i="14"/>
  <c r="R161" i="14"/>
  <c r="R89" i="14"/>
  <c r="R103" i="14"/>
  <c r="R151" i="14"/>
  <c r="R163" i="14"/>
  <c r="R137" i="14"/>
  <c r="R162" i="14"/>
  <c r="R143" i="14"/>
  <c r="R111" i="14"/>
  <c r="R138" i="14"/>
  <c r="R130" i="14"/>
  <c r="R155" i="14"/>
  <c r="R94" i="14"/>
  <c r="R139" i="14"/>
  <c r="R99" i="14"/>
  <c r="R91" i="14"/>
  <c r="R83" i="14"/>
  <c r="R152" i="14"/>
  <c r="R127" i="14"/>
  <c r="R145" i="14"/>
  <c r="R120" i="14"/>
  <c r="R131" i="14"/>
  <c r="R123" i="14"/>
  <c r="R115" i="14"/>
  <c r="R122" i="14"/>
  <c r="R153" i="14"/>
  <c r="R170" i="14"/>
  <c r="R121" i="14"/>
  <c r="R87" i="14"/>
  <c r="R147" i="14"/>
  <c r="R128" i="14"/>
  <c r="R97" i="14"/>
  <c r="R79" i="14"/>
  <c r="R107" i="14"/>
  <c r="R146" i="14"/>
  <c r="R105" i="14"/>
  <c r="I76" i="14"/>
  <c r="J76" i="14"/>
  <c r="N104" i="14" l="1"/>
  <c r="N98" i="14"/>
  <c r="N110" i="14"/>
  <c r="R149" i="14"/>
  <c r="N112" i="14"/>
  <c r="R166" i="14"/>
  <c r="N126" i="14"/>
  <c r="R86" i="14"/>
  <c r="R134" i="14"/>
  <c r="R118" i="14"/>
  <c r="N158" i="14"/>
  <c r="R142" i="14"/>
  <c r="R88" i="14"/>
  <c r="R106" i="14"/>
  <c r="R144" i="14"/>
  <c r="N160" i="14"/>
  <c r="R96" i="14"/>
  <c r="R90" i="14"/>
  <c r="R109" i="14"/>
  <c r="R136" i="14"/>
  <c r="N117" i="14"/>
  <c r="N125" i="14"/>
  <c r="R141" i="14"/>
  <c r="R80" i="14"/>
  <c r="N77" i="14"/>
  <c r="O77" i="14" s="1"/>
  <c r="P77" i="14" s="1"/>
  <c r="R157" i="14"/>
  <c r="N133" i="14"/>
  <c r="R165" i="14"/>
  <c r="R93" i="14"/>
  <c r="R101" i="14"/>
  <c r="R173" i="14"/>
  <c r="R85" i="14"/>
  <c r="R84" i="14"/>
  <c r="R116" i="14"/>
  <c r="R172" i="14"/>
  <c r="R140" i="14"/>
  <c r="R148" i="14"/>
  <c r="R108" i="14"/>
  <c r="R156" i="14"/>
  <c r="R100" i="14"/>
  <c r="R132" i="14"/>
  <c r="R92" i="14"/>
  <c r="R164" i="14"/>
  <c r="N124" i="14"/>
  <c r="E66" i="11"/>
  <c r="D12" i="12" s="1"/>
  <c r="G12" i="12" s="1"/>
  <c r="B14" i="14"/>
  <c r="N78" i="14"/>
  <c r="O78" i="14" l="1"/>
  <c r="O79" i="14" s="1"/>
  <c r="B16" i="14"/>
  <c r="A14" i="14"/>
  <c r="H12" i="12"/>
  <c r="B10" i="13"/>
  <c r="P78" i="14" l="1"/>
  <c r="O80" i="14"/>
  <c r="P79" i="14"/>
  <c r="L12" i="12"/>
  <c r="I1" i="12" s="1"/>
  <c r="I12" i="12"/>
  <c r="D13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G44" i="14"/>
  <c r="G13" i="14"/>
  <c r="F76" i="14"/>
  <c r="A16" i="14"/>
  <c r="H76" i="14"/>
  <c r="M176" i="14" l="1"/>
  <c r="N176" i="14" s="1"/>
  <c r="Q176" i="14"/>
  <c r="R176" i="14" s="1"/>
  <c r="L176" i="14"/>
  <c r="K177" i="14"/>
  <c r="G15" i="14"/>
  <c r="G16" i="14"/>
  <c r="G22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K10" i="14"/>
  <c r="E81" i="14"/>
  <c r="E135" i="14"/>
  <c r="E105" i="14"/>
  <c r="E107" i="14"/>
  <c r="E162" i="14"/>
  <c r="E136" i="14"/>
  <c r="E159" i="14"/>
  <c r="E132" i="14"/>
  <c r="E104" i="14"/>
  <c r="E138" i="14"/>
  <c r="E120" i="14"/>
  <c r="E142" i="14"/>
  <c r="E152" i="14"/>
  <c r="E100" i="14"/>
  <c r="E85" i="14"/>
  <c r="E115" i="14"/>
  <c r="E117" i="14"/>
  <c r="E131" i="14"/>
  <c r="E160" i="14"/>
  <c r="E173" i="14"/>
  <c r="E86" i="14"/>
  <c r="E108" i="14"/>
  <c r="E90" i="14"/>
  <c r="E144" i="14"/>
  <c r="E167" i="14"/>
  <c r="E139" i="14"/>
  <c r="E91" i="14"/>
  <c r="E166" i="14"/>
  <c r="E155" i="14"/>
  <c r="E151" i="14"/>
  <c r="E80" i="14"/>
  <c r="E174" i="14"/>
  <c r="E79" i="14"/>
  <c r="E96" i="14"/>
  <c r="E157" i="14"/>
  <c r="E92" i="14"/>
  <c r="E84" i="14"/>
  <c r="E110" i="14"/>
  <c r="E126" i="14"/>
  <c r="E153" i="14"/>
  <c r="E145" i="14"/>
  <c r="E89" i="14"/>
  <c r="E88" i="14"/>
  <c r="E171" i="14"/>
  <c r="E82" i="14"/>
  <c r="E95" i="14"/>
  <c r="E103" i="14"/>
  <c r="E127" i="14"/>
  <c r="E141" i="14"/>
  <c r="E98" i="14"/>
  <c r="E106" i="14"/>
  <c r="E161" i="14"/>
  <c r="E76" i="14"/>
  <c r="E83" i="14"/>
  <c r="E99" i="14"/>
  <c r="E172" i="14"/>
  <c r="E154" i="14"/>
  <c r="E124" i="14"/>
  <c r="E101" i="14"/>
  <c r="E146" i="14"/>
  <c r="E143" i="14"/>
  <c r="E125" i="14"/>
  <c r="E148" i="14"/>
  <c r="E129" i="14"/>
  <c r="E164" i="14"/>
  <c r="E94" i="14"/>
  <c r="E134" i="14"/>
  <c r="E150" i="14"/>
  <c r="E158" i="14"/>
  <c r="E176" i="14"/>
  <c r="E114" i="14"/>
  <c r="E77" i="14"/>
  <c r="E93" i="14"/>
  <c r="E109" i="14"/>
  <c r="E169" i="14"/>
  <c r="E128" i="14"/>
  <c r="E165" i="14"/>
  <c r="E78" i="14"/>
  <c r="E168" i="14"/>
  <c r="E121" i="14"/>
  <c r="E119" i="14"/>
  <c r="E156" i="14"/>
  <c r="E113" i="14"/>
  <c r="E137" i="14"/>
  <c r="E118" i="14"/>
  <c r="E147" i="14"/>
  <c r="E163" i="14"/>
  <c r="E111" i="14"/>
  <c r="E175" i="14"/>
  <c r="E112" i="14"/>
  <c r="E97" i="14"/>
  <c r="E149" i="14"/>
  <c r="E123" i="14"/>
  <c r="E130" i="14"/>
  <c r="E102" i="14"/>
  <c r="E140" i="14"/>
  <c r="E170" i="14"/>
  <c r="E122" i="14"/>
  <c r="E116" i="14"/>
  <c r="E133" i="14"/>
  <c r="E87" i="14"/>
  <c r="G76" i="14"/>
  <c r="G67" i="14"/>
  <c r="G66" i="14" s="1"/>
  <c r="G50" i="14"/>
  <c r="H46" i="14"/>
  <c r="H47" i="14"/>
  <c r="D15" i="14"/>
  <c r="D16" i="14"/>
  <c r="D18" i="14"/>
  <c r="O81" i="14"/>
  <c r="P80" i="14"/>
  <c r="O82" i="14" l="1"/>
  <c r="P81" i="14"/>
  <c r="D19" i="14"/>
  <c r="D20" i="14"/>
  <c r="D21" i="14"/>
  <c r="H52" i="14"/>
  <c r="H51" i="14"/>
  <c r="D222" i="14"/>
  <c r="J222" i="14" s="1"/>
  <c r="D226" i="14"/>
  <c r="D225" i="14"/>
  <c r="J225" i="14" s="1"/>
  <c r="D208" i="14"/>
  <c r="J208" i="14" s="1"/>
  <c r="D202" i="14"/>
  <c r="J202" i="14" s="1"/>
  <c r="D223" i="14"/>
  <c r="J223" i="14" s="1"/>
  <c r="D215" i="14"/>
  <c r="J215" i="14" s="1"/>
  <c r="D214" i="14"/>
  <c r="J214" i="14" s="1"/>
  <c r="D203" i="14"/>
  <c r="J203" i="14" s="1"/>
  <c r="D210" i="14"/>
  <c r="J210" i="14" s="1"/>
  <c r="D216" i="14"/>
  <c r="J216" i="14" s="1"/>
  <c r="D211" i="14"/>
  <c r="J211" i="14" s="1"/>
  <c r="D205" i="14"/>
  <c r="J205" i="14" s="1"/>
  <c r="D207" i="14"/>
  <c r="J207" i="14" s="1"/>
  <c r="D204" i="14"/>
  <c r="J204" i="14" s="1"/>
  <c r="D221" i="14"/>
  <c r="J221" i="14" s="1"/>
  <c r="D219" i="14"/>
  <c r="J219" i="14" s="1"/>
  <c r="D213" i="14"/>
  <c r="J213" i="14" s="1"/>
  <c r="D218" i="14"/>
  <c r="J218" i="14" s="1"/>
  <c r="D206" i="14"/>
  <c r="J206" i="14" s="1"/>
  <c r="D217" i="14"/>
  <c r="J217" i="14" s="1"/>
  <c r="D220" i="14"/>
  <c r="J220" i="14" s="1"/>
  <c r="D224" i="14"/>
  <c r="J224" i="14" s="1"/>
  <c r="D212" i="14"/>
  <c r="J212" i="14" s="1"/>
  <c r="D209" i="14"/>
  <c r="J209" i="14" s="1"/>
  <c r="M177" i="14"/>
  <c r="N177" i="14" s="1"/>
  <c r="Q177" i="14"/>
  <c r="R177" i="14" s="1"/>
  <c r="L177" i="14"/>
  <c r="K178" i="14"/>
  <c r="U176" i="14"/>
  <c r="X176" i="14" s="1"/>
  <c r="S176" i="14"/>
  <c r="V176" i="14" s="1"/>
  <c r="T176" i="14"/>
  <c r="W176" i="14" s="1"/>
  <c r="H69" i="14"/>
  <c r="H68" i="14"/>
  <c r="C201" i="14"/>
  <c r="I201" i="14" s="1"/>
  <c r="C222" i="14"/>
  <c r="I222" i="14" s="1"/>
  <c r="C218" i="14"/>
  <c r="I218" i="14" s="1"/>
  <c r="C214" i="14"/>
  <c r="I214" i="14" s="1"/>
  <c r="C210" i="14"/>
  <c r="I210" i="14" s="1"/>
  <c r="C206" i="14"/>
  <c r="I206" i="14" s="1"/>
  <c r="C225" i="14"/>
  <c r="I225" i="14" s="1"/>
  <c r="C221" i="14"/>
  <c r="I221" i="14" s="1"/>
  <c r="C217" i="14"/>
  <c r="I217" i="14" s="1"/>
  <c r="C213" i="14"/>
  <c r="I213" i="14" s="1"/>
  <c r="C209" i="14"/>
  <c r="I209" i="14" s="1"/>
  <c r="C205" i="14"/>
  <c r="I205" i="14" s="1"/>
  <c r="C203" i="14"/>
  <c r="I203" i="14" s="1"/>
  <c r="C202" i="14"/>
  <c r="I202" i="14" s="1"/>
  <c r="C223" i="14"/>
  <c r="I223" i="14" s="1"/>
  <c r="C219" i="14"/>
  <c r="I219" i="14" s="1"/>
  <c r="C215" i="14"/>
  <c r="I215" i="14" s="1"/>
  <c r="C211" i="14"/>
  <c r="I211" i="14" s="1"/>
  <c r="C207" i="14"/>
  <c r="I207" i="14" s="1"/>
  <c r="C216" i="14"/>
  <c r="I216" i="14" s="1"/>
  <c r="C212" i="14"/>
  <c r="I212" i="14" s="1"/>
  <c r="C208" i="14"/>
  <c r="I208" i="14" s="1"/>
  <c r="C204" i="14"/>
  <c r="I204" i="14" s="1"/>
  <c r="C224" i="14"/>
  <c r="I224" i="14" s="1"/>
  <c r="C220" i="14"/>
  <c r="I220" i="14" s="1"/>
  <c r="G211" i="14"/>
  <c r="G217" i="14"/>
  <c r="G204" i="14"/>
  <c r="G202" i="14"/>
  <c r="G218" i="14"/>
  <c r="G224" i="14"/>
  <c r="G215" i="14"/>
  <c r="G222" i="14"/>
  <c r="G205" i="14"/>
  <c r="G208" i="14"/>
  <c r="G221" i="14"/>
  <c r="G210" i="14"/>
  <c r="G216" i="14"/>
  <c r="G212" i="14"/>
  <c r="G213" i="14"/>
  <c r="G206" i="14"/>
  <c r="G201" i="14"/>
  <c r="G203" i="14"/>
  <c r="G223" i="14"/>
  <c r="G209" i="14"/>
  <c r="G220" i="14"/>
  <c r="G219" i="14"/>
  <c r="G214" i="14"/>
  <c r="G207" i="14"/>
  <c r="G225" i="14"/>
  <c r="K12" i="14"/>
  <c r="K11" i="14"/>
  <c r="H174" i="14" l="1"/>
  <c r="G174" i="14" s="1"/>
  <c r="H107" i="14"/>
  <c r="G107" i="14" s="1"/>
  <c r="H151" i="14"/>
  <c r="G151" i="14" s="1"/>
  <c r="H112" i="14"/>
  <c r="G112" i="14" s="1"/>
  <c r="H137" i="14"/>
  <c r="G137" i="14" s="1"/>
  <c r="H135" i="14"/>
  <c r="G135" i="14" s="1"/>
  <c r="H124" i="14"/>
  <c r="G124" i="14" s="1"/>
  <c r="H173" i="14"/>
  <c r="G173" i="14" s="1"/>
  <c r="H116" i="14"/>
  <c r="G116" i="14" s="1"/>
  <c r="H162" i="14"/>
  <c r="G162" i="14" s="1"/>
  <c r="H169" i="14"/>
  <c r="G169" i="14" s="1"/>
  <c r="H84" i="14"/>
  <c r="G84" i="14" s="1"/>
  <c r="H95" i="14"/>
  <c r="G95" i="14" s="1"/>
  <c r="H118" i="14"/>
  <c r="G118" i="14" s="1"/>
  <c r="H138" i="14"/>
  <c r="G138" i="14" s="1"/>
  <c r="H132" i="14"/>
  <c r="G132" i="14" s="1"/>
  <c r="H93" i="14"/>
  <c r="G93" i="14" s="1"/>
  <c r="H152" i="14"/>
  <c r="G152" i="14" s="1"/>
  <c r="H110" i="14"/>
  <c r="G110" i="14" s="1"/>
  <c r="H161" i="14"/>
  <c r="G161" i="14" s="1"/>
  <c r="H102" i="14"/>
  <c r="G102" i="14" s="1"/>
  <c r="H121" i="14"/>
  <c r="G121" i="14" s="1"/>
  <c r="H89" i="14"/>
  <c r="G89" i="14" s="1"/>
  <c r="H119" i="14"/>
  <c r="G119" i="14" s="1"/>
  <c r="H130" i="14"/>
  <c r="G130" i="14" s="1"/>
  <c r="H175" i="14"/>
  <c r="H159" i="14"/>
  <c r="G159" i="14" s="1"/>
  <c r="H146" i="14"/>
  <c r="G146" i="14" s="1"/>
  <c r="H81" i="14"/>
  <c r="G81" i="14" s="1"/>
  <c r="H87" i="14"/>
  <c r="G87" i="14" s="1"/>
  <c r="H114" i="14"/>
  <c r="G114" i="14" s="1"/>
  <c r="H111" i="14"/>
  <c r="G111" i="14" s="1"/>
  <c r="H104" i="14"/>
  <c r="G104" i="14" s="1"/>
  <c r="H156" i="14"/>
  <c r="G156" i="14" s="1"/>
  <c r="H158" i="14"/>
  <c r="G158" i="14" s="1"/>
  <c r="H163" i="14"/>
  <c r="G163" i="14" s="1"/>
  <c r="H82" i="14"/>
  <c r="G82" i="14" s="1"/>
  <c r="H96" i="14"/>
  <c r="G96" i="14" s="1"/>
  <c r="H170" i="14"/>
  <c r="G170" i="14" s="1"/>
  <c r="H94" i="14"/>
  <c r="G94" i="14" s="1"/>
  <c r="H160" i="14"/>
  <c r="G160" i="14" s="1"/>
  <c r="H90" i="14"/>
  <c r="G90" i="14" s="1"/>
  <c r="H141" i="14"/>
  <c r="G141" i="14" s="1"/>
  <c r="H143" i="14"/>
  <c r="G143" i="14" s="1"/>
  <c r="H136" i="14"/>
  <c r="G136" i="14" s="1"/>
  <c r="H88" i="14"/>
  <c r="G88" i="14" s="1"/>
  <c r="H120" i="14"/>
  <c r="G120" i="14" s="1"/>
  <c r="H101" i="14"/>
  <c r="G101" i="14" s="1"/>
  <c r="H154" i="14"/>
  <c r="G154" i="14" s="1"/>
  <c r="H123" i="14"/>
  <c r="G123" i="14" s="1"/>
  <c r="H80" i="14"/>
  <c r="G80" i="14" s="1"/>
  <c r="H125" i="14"/>
  <c r="G125" i="14" s="1"/>
  <c r="H145" i="14"/>
  <c r="G145" i="14" s="1"/>
  <c r="H144" i="14"/>
  <c r="G144" i="14" s="1"/>
  <c r="H166" i="14"/>
  <c r="G166" i="14" s="1"/>
  <c r="H129" i="14"/>
  <c r="G129" i="14" s="1"/>
  <c r="H171" i="14"/>
  <c r="G171" i="14" s="1"/>
  <c r="H142" i="14"/>
  <c r="G142" i="14" s="1"/>
  <c r="H78" i="14"/>
  <c r="G78" i="14" s="1"/>
  <c r="H122" i="14"/>
  <c r="G122" i="14" s="1"/>
  <c r="H134" i="14"/>
  <c r="G134" i="14" s="1"/>
  <c r="H105" i="14"/>
  <c r="G105" i="14" s="1"/>
  <c r="H99" i="14"/>
  <c r="G99" i="14" s="1"/>
  <c r="H164" i="14"/>
  <c r="G164" i="14" s="1"/>
  <c r="H150" i="14"/>
  <c r="G150" i="14" s="1"/>
  <c r="H168" i="14"/>
  <c r="G168" i="14" s="1"/>
  <c r="H115" i="14"/>
  <c r="G115" i="14" s="1"/>
  <c r="H92" i="14"/>
  <c r="G92" i="14" s="1"/>
  <c r="H147" i="14"/>
  <c r="G147" i="14" s="1"/>
  <c r="H91" i="14"/>
  <c r="G91" i="14" s="1"/>
  <c r="H127" i="14"/>
  <c r="G127" i="14" s="1"/>
  <c r="H106" i="14"/>
  <c r="G106" i="14" s="1"/>
  <c r="H97" i="14"/>
  <c r="G97" i="14" s="1"/>
  <c r="H100" i="14"/>
  <c r="G100" i="14" s="1"/>
  <c r="H139" i="14"/>
  <c r="G139" i="14" s="1"/>
  <c r="H157" i="14"/>
  <c r="G157" i="14" s="1"/>
  <c r="H83" i="14"/>
  <c r="G83" i="14" s="1"/>
  <c r="H109" i="14"/>
  <c r="G109" i="14" s="1"/>
  <c r="H126" i="14"/>
  <c r="G126" i="14" s="1"/>
  <c r="H113" i="14"/>
  <c r="G113" i="14" s="1"/>
  <c r="H108" i="14"/>
  <c r="G108" i="14" s="1"/>
  <c r="H98" i="14"/>
  <c r="G98" i="14" s="1"/>
  <c r="H133" i="14"/>
  <c r="G133" i="14" s="1"/>
  <c r="H77" i="14"/>
  <c r="G77" i="14" s="1"/>
  <c r="H128" i="14"/>
  <c r="G128" i="14" s="1"/>
  <c r="H148" i="14"/>
  <c r="G148" i="14" s="1"/>
  <c r="H149" i="14"/>
  <c r="G149" i="14" s="1"/>
  <c r="H153" i="14"/>
  <c r="G153" i="14" s="1"/>
  <c r="H85" i="14"/>
  <c r="G85" i="14" s="1"/>
  <c r="H131" i="14"/>
  <c r="G131" i="14" s="1"/>
  <c r="H155" i="14"/>
  <c r="G155" i="14" s="1"/>
  <c r="H79" i="14"/>
  <c r="G79" i="14" s="1"/>
  <c r="H165" i="14"/>
  <c r="G165" i="14" s="1"/>
  <c r="H103" i="14"/>
  <c r="G103" i="14" s="1"/>
  <c r="H117" i="14"/>
  <c r="G117" i="14" s="1"/>
  <c r="H167" i="14"/>
  <c r="G167" i="14" s="1"/>
  <c r="H86" i="14"/>
  <c r="G86" i="14" s="1"/>
  <c r="H140" i="14"/>
  <c r="G140" i="14" s="1"/>
  <c r="H172" i="14"/>
  <c r="G172" i="14" s="1"/>
  <c r="Z176" i="14"/>
  <c r="G248" i="14"/>
  <c r="G246" i="14"/>
  <c r="G241" i="14"/>
  <c r="G237" i="14"/>
  <c r="G236" i="14"/>
  <c r="G229" i="14"/>
  <c r="G233" i="14"/>
  <c r="G230" i="14"/>
  <c r="G232" i="14"/>
  <c r="G228" i="14"/>
  <c r="G247" i="14"/>
  <c r="G249" i="14"/>
  <c r="G238" i="14"/>
  <c r="G243" i="14"/>
  <c r="G250" i="14"/>
  <c r="G240" i="14"/>
  <c r="G226" i="14"/>
  <c r="G245" i="14"/>
  <c r="G227" i="14"/>
  <c r="G244" i="14"/>
  <c r="G235" i="14"/>
  <c r="G231" i="14"/>
  <c r="G234" i="14"/>
  <c r="G242" i="14"/>
  <c r="G239" i="14"/>
  <c r="Y176" i="14"/>
  <c r="E232" i="14"/>
  <c r="F232" i="14" s="1"/>
  <c r="E242" i="14"/>
  <c r="F242" i="14" s="1"/>
  <c r="E222" i="14"/>
  <c r="F222" i="14" s="1"/>
  <c r="E201" i="14"/>
  <c r="F201" i="14" s="1"/>
  <c r="E210" i="14"/>
  <c r="F210" i="14" s="1"/>
  <c r="E250" i="14"/>
  <c r="F250" i="14" s="1"/>
  <c r="E192" i="14"/>
  <c r="F192" i="14" s="1"/>
  <c r="E253" i="14"/>
  <c r="F253" i="14" s="1"/>
  <c r="E251" i="14"/>
  <c r="F251" i="14" s="1"/>
  <c r="E182" i="14"/>
  <c r="F182" i="14" s="1"/>
  <c r="E273" i="14"/>
  <c r="F273" i="14" s="1"/>
  <c r="E256" i="14"/>
  <c r="F256" i="14" s="1"/>
  <c r="E189" i="14"/>
  <c r="F189" i="14" s="1"/>
  <c r="E196" i="14"/>
  <c r="F196" i="14" s="1"/>
  <c r="E184" i="14"/>
  <c r="F184" i="14" s="1"/>
  <c r="E216" i="14"/>
  <c r="F216" i="14" s="1"/>
  <c r="E270" i="14"/>
  <c r="F270" i="14" s="1"/>
  <c r="E227" i="14"/>
  <c r="F227" i="14" s="1"/>
  <c r="E205" i="14"/>
  <c r="F205" i="14" s="1"/>
  <c r="E262" i="14"/>
  <c r="F262" i="14" s="1"/>
  <c r="E236" i="14"/>
  <c r="F236" i="14" s="1"/>
  <c r="E207" i="14"/>
  <c r="F207" i="14" s="1"/>
  <c r="E266" i="14"/>
  <c r="F266" i="14" s="1"/>
  <c r="E254" i="14"/>
  <c r="F254" i="14" s="1"/>
  <c r="E204" i="14"/>
  <c r="F204" i="14" s="1"/>
  <c r="E268" i="14"/>
  <c r="F268" i="14" s="1"/>
  <c r="E185" i="14"/>
  <c r="F185" i="14" s="1"/>
  <c r="E229" i="14"/>
  <c r="F229" i="14" s="1"/>
  <c r="E211" i="14"/>
  <c r="F211" i="14" s="1"/>
  <c r="E180" i="14"/>
  <c r="F180" i="14" s="1"/>
  <c r="E221" i="14"/>
  <c r="F221" i="14" s="1"/>
  <c r="E234" i="14"/>
  <c r="F234" i="14" s="1"/>
  <c r="E252" i="14"/>
  <c r="F252" i="14" s="1"/>
  <c r="E219" i="14"/>
  <c r="F219" i="14" s="1"/>
  <c r="E213" i="14"/>
  <c r="F213" i="14" s="1"/>
  <c r="E218" i="14"/>
  <c r="F218" i="14" s="1"/>
  <c r="E190" i="14"/>
  <c r="F190" i="14" s="1"/>
  <c r="E259" i="14"/>
  <c r="F259" i="14" s="1"/>
  <c r="E206" i="14"/>
  <c r="F206" i="14" s="1"/>
  <c r="E217" i="14"/>
  <c r="F217" i="14" s="1"/>
  <c r="E220" i="14"/>
  <c r="F220" i="14" s="1"/>
  <c r="E224" i="14"/>
  <c r="F224" i="14" s="1"/>
  <c r="E212" i="14"/>
  <c r="F212" i="14" s="1"/>
  <c r="E226" i="14"/>
  <c r="F226" i="14" s="1"/>
  <c r="E239" i="14"/>
  <c r="F239" i="14" s="1"/>
  <c r="E246" i="14"/>
  <c r="F246" i="14" s="1"/>
  <c r="E233" i="14"/>
  <c r="F233" i="14" s="1"/>
  <c r="E178" i="14"/>
  <c r="F178" i="14" s="1"/>
  <c r="E240" i="14"/>
  <c r="F240" i="14" s="1"/>
  <c r="E272" i="14"/>
  <c r="F272" i="14" s="1"/>
  <c r="E257" i="14"/>
  <c r="F257" i="14" s="1"/>
  <c r="E238" i="14"/>
  <c r="F238" i="14" s="1"/>
  <c r="E177" i="14"/>
  <c r="F177" i="14" s="1"/>
  <c r="E235" i="14"/>
  <c r="F235" i="14" s="1"/>
  <c r="E247" i="14"/>
  <c r="F247" i="14" s="1"/>
  <c r="E244" i="14"/>
  <c r="F244" i="14" s="1"/>
  <c r="E197" i="14"/>
  <c r="F197" i="14" s="1"/>
  <c r="E195" i="14"/>
  <c r="F195" i="14" s="1"/>
  <c r="E271" i="14"/>
  <c r="F271" i="14" s="1"/>
  <c r="E198" i="14"/>
  <c r="F198" i="14" s="1"/>
  <c r="E274" i="14"/>
  <c r="F274" i="14" s="1"/>
  <c r="E237" i="14"/>
  <c r="F237" i="14" s="1"/>
  <c r="E186" i="14"/>
  <c r="F186" i="14" s="1"/>
  <c r="E231" i="14"/>
  <c r="F231" i="14" s="1"/>
  <c r="E179" i="14"/>
  <c r="F179" i="14" s="1"/>
  <c r="E209" i="14"/>
  <c r="F209" i="14" s="1"/>
  <c r="E200" i="14"/>
  <c r="F200" i="14" s="1"/>
  <c r="E267" i="14"/>
  <c r="F267" i="14" s="1"/>
  <c r="E243" i="14"/>
  <c r="F243" i="14" s="1"/>
  <c r="E260" i="14"/>
  <c r="F260" i="14" s="1"/>
  <c r="E264" i="14"/>
  <c r="F264" i="14" s="1"/>
  <c r="E269" i="14"/>
  <c r="F269" i="14" s="1"/>
  <c r="E230" i="14"/>
  <c r="F230" i="14" s="1"/>
  <c r="E199" i="14"/>
  <c r="F199" i="14" s="1"/>
  <c r="E187" i="14"/>
  <c r="F187" i="14" s="1"/>
  <c r="E225" i="14"/>
  <c r="F225" i="14" s="1"/>
  <c r="E194" i="14"/>
  <c r="F194" i="14" s="1"/>
  <c r="E249" i="14"/>
  <c r="F249" i="14" s="1"/>
  <c r="E228" i="14"/>
  <c r="F228" i="14" s="1"/>
  <c r="E265" i="14"/>
  <c r="F265" i="14" s="1"/>
  <c r="E263" i="14"/>
  <c r="F263" i="14" s="1"/>
  <c r="E245" i="14"/>
  <c r="F245" i="14" s="1"/>
  <c r="E258" i="14"/>
  <c r="F258" i="14" s="1"/>
  <c r="E188" i="14"/>
  <c r="F188" i="14" s="1"/>
  <c r="E275" i="14"/>
  <c r="F275" i="14" s="1"/>
  <c r="E183" i="14"/>
  <c r="F183" i="14" s="1"/>
  <c r="E208" i="14"/>
  <c r="F208" i="14" s="1"/>
  <c r="E181" i="14"/>
  <c r="F181" i="14" s="1"/>
  <c r="E193" i="14"/>
  <c r="F193" i="14" s="1"/>
  <c r="E202" i="14"/>
  <c r="F202" i="14" s="1"/>
  <c r="E223" i="14"/>
  <c r="F223" i="14" s="1"/>
  <c r="E255" i="14"/>
  <c r="F255" i="14" s="1"/>
  <c r="E215" i="14"/>
  <c r="F215" i="14" s="1"/>
  <c r="E214" i="14"/>
  <c r="F214" i="14" s="1"/>
  <c r="E261" i="14"/>
  <c r="F261" i="14" s="1"/>
  <c r="E191" i="14"/>
  <c r="F191" i="14" s="1"/>
  <c r="E203" i="14"/>
  <c r="F203" i="14" s="1"/>
  <c r="E241" i="14"/>
  <c r="F241" i="14" s="1"/>
  <c r="E248" i="14"/>
  <c r="F248" i="14" s="1"/>
  <c r="AA176" i="14"/>
  <c r="D23" i="14"/>
  <c r="D24" i="14"/>
  <c r="D28" i="14"/>
  <c r="G21" i="14"/>
  <c r="U177" i="14"/>
  <c r="X177" i="14" s="1"/>
  <c r="S177" i="14"/>
  <c r="V177" i="14" s="1"/>
  <c r="T177" i="14"/>
  <c r="W177" i="14" s="1"/>
  <c r="C230" i="14"/>
  <c r="I230" i="14" s="1"/>
  <c r="C226" i="14"/>
  <c r="I226" i="14" s="1"/>
  <c r="C234" i="14"/>
  <c r="I234" i="14" s="1"/>
  <c r="C233" i="14"/>
  <c r="I233" i="14" s="1"/>
  <c r="C229" i="14"/>
  <c r="I229" i="14" s="1"/>
  <c r="C240" i="14"/>
  <c r="I240" i="14" s="1"/>
  <c r="C250" i="14"/>
  <c r="I250" i="14" s="1"/>
  <c r="C246" i="14"/>
  <c r="I246" i="14" s="1"/>
  <c r="C231" i="14"/>
  <c r="I231" i="14" s="1"/>
  <c r="C227" i="14"/>
  <c r="I227" i="14" s="1"/>
  <c r="C235" i="14"/>
  <c r="I235" i="14" s="1"/>
  <c r="C242" i="14"/>
  <c r="I242" i="14" s="1"/>
  <c r="C238" i="14"/>
  <c r="I238" i="14" s="1"/>
  <c r="C248" i="14"/>
  <c r="I248" i="14" s="1"/>
  <c r="C244" i="14"/>
  <c r="I244" i="14" s="1"/>
  <c r="C249" i="14"/>
  <c r="I249" i="14" s="1"/>
  <c r="C236" i="14"/>
  <c r="I236" i="14" s="1"/>
  <c r="C241" i="14"/>
  <c r="I241" i="14" s="1"/>
  <c r="C243" i="14"/>
  <c r="I243" i="14" s="1"/>
  <c r="C239" i="14"/>
  <c r="I239" i="14" s="1"/>
  <c r="C247" i="14"/>
  <c r="I247" i="14" s="1"/>
  <c r="C232" i="14"/>
  <c r="I232" i="14" s="1"/>
  <c r="C237" i="14"/>
  <c r="I237" i="14" s="1"/>
  <c r="C228" i="14"/>
  <c r="I228" i="14" s="1"/>
  <c r="C245" i="14"/>
  <c r="I245" i="14" s="1"/>
  <c r="M178" i="14"/>
  <c r="N178" i="14" s="1"/>
  <c r="Q178" i="14"/>
  <c r="R178" i="14" s="1"/>
  <c r="L178" i="14"/>
  <c r="K179" i="14"/>
  <c r="D227" i="14"/>
  <c r="J226" i="14"/>
  <c r="O83" i="14"/>
  <c r="P82" i="14"/>
  <c r="AA177" i="14" l="1"/>
  <c r="Z177" i="14"/>
  <c r="P83" i="14"/>
  <c r="O84" i="14"/>
  <c r="J227" i="14"/>
  <c r="D228" i="14"/>
  <c r="M179" i="14"/>
  <c r="N179" i="14" s="1"/>
  <c r="Q179" i="14"/>
  <c r="R179" i="14" s="1"/>
  <c r="L179" i="14"/>
  <c r="K180" i="14"/>
  <c r="G24" i="14"/>
  <c r="G23" i="14"/>
  <c r="C252" i="14"/>
  <c r="I252" i="14" s="1"/>
  <c r="C266" i="14"/>
  <c r="I266" i="14" s="1"/>
  <c r="C262" i="14"/>
  <c r="I262" i="14" s="1"/>
  <c r="C272" i="14"/>
  <c r="I272" i="14" s="1"/>
  <c r="C258" i="14"/>
  <c r="I258" i="14" s="1"/>
  <c r="C254" i="14"/>
  <c r="I254" i="14" s="1"/>
  <c r="C274" i="14"/>
  <c r="I274" i="14" s="1"/>
  <c r="C269" i="14"/>
  <c r="I269" i="14" s="1"/>
  <c r="C265" i="14"/>
  <c r="I265" i="14" s="1"/>
  <c r="C273" i="14"/>
  <c r="I273" i="14" s="1"/>
  <c r="C261" i="14"/>
  <c r="I261" i="14" s="1"/>
  <c r="C257" i="14"/>
  <c r="I257" i="14" s="1"/>
  <c r="C253" i="14"/>
  <c r="I253" i="14" s="1"/>
  <c r="C270" i="14"/>
  <c r="I270" i="14" s="1"/>
  <c r="C268" i="14"/>
  <c r="I268" i="14" s="1"/>
  <c r="C264" i="14"/>
  <c r="I264" i="14" s="1"/>
  <c r="C275" i="14"/>
  <c r="I275" i="14" s="1"/>
  <c r="C251" i="14"/>
  <c r="I251" i="14" s="1"/>
  <c r="C260" i="14"/>
  <c r="I260" i="14" s="1"/>
  <c r="C256" i="14"/>
  <c r="I256" i="14" s="1"/>
  <c r="C271" i="14"/>
  <c r="I271" i="14" s="1"/>
  <c r="C267" i="14"/>
  <c r="I267" i="14" s="1"/>
  <c r="C263" i="14"/>
  <c r="I263" i="14" s="1"/>
  <c r="C259" i="14"/>
  <c r="I259" i="14" s="1"/>
  <c r="C255" i="14"/>
  <c r="I255" i="14" s="1"/>
  <c r="U178" i="14"/>
  <c r="X178" i="14" s="1"/>
  <c r="S178" i="14"/>
  <c r="V178" i="14" s="1"/>
  <c r="T178" i="14"/>
  <c r="W178" i="14" s="1"/>
  <c r="D29" i="14"/>
  <c r="D30" i="14"/>
  <c r="G175" i="14"/>
  <c r="G40" i="14" s="1"/>
  <c r="H176" i="14"/>
  <c r="Y177" i="14"/>
  <c r="Z178" i="14" l="1"/>
  <c r="AA178" i="14"/>
  <c r="C285" i="14"/>
  <c r="C288" i="14"/>
  <c r="C296" i="14"/>
  <c r="C281" i="14"/>
  <c r="C292" i="14"/>
  <c r="C278" i="14"/>
  <c r="C284" i="14"/>
  <c r="C291" i="14"/>
  <c r="C287" i="14"/>
  <c r="C295" i="14"/>
  <c r="C280" i="14"/>
  <c r="C286" i="14"/>
  <c r="C277" i="14"/>
  <c r="C283" i="14"/>
  <c r="C290" i="14"/>
  <c r="C294" i="14"/>
  <c r="C279" i="14"/>
  <c r="C289" i="14"/>
  <c r="C300" i="14"/>
  <c r="C282" i="14"/>
  <c r="C276" i="14"/>
  <c r="I276" i="14" s="1"/>
  <c r="C299" i="14"/>
  <c r="C297" i="14"/>
  <c r="C298" i="14"/>
  <c r="C293" i="14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G62" i="14"/>
  <c r="G61" i="14" s="1"/>
  <c r="D229" i="14"/>
  <c r="J228" i="14"/>
  <c r="O85" i="14"/>
  <c r="P84" i="14"/>
  <c r="D264" i="14"/>
  <c r="J264" i="14" s="1"/>
  <c r="D265" i="14"/>
  <c r="J265" i="14" s="1"/>
  <c r="D267" i="14"/>
  <c r="J267" i="14" s="1"/>
  <c r="D271" i="14"/>
  <c r="J271" i="14" s="1"/>
  <c r="D253" i="14"/>
  <c r="J253" i="14" s="1"/>
  <c r="D256" i="14"/>
  <c r="J256" i="14" s="1"/>
  <c r="D252" i="14"/>
  <c r="J252" i="14" s="1"/>
  <c r="D251" i="14"/>
  <c r="J251" i="14" s="1"/>
  <c r="D270" i="14"/>
  <c r="J270" i="14" s="1"/>
  <c r="D255" i="14"/>
  <c r="J255" i="14" s="1"/>
  <c r="D274" i="14"/>
  <c r="J274" i="14" s="1"/>
  <c r="D257" i="14"/>
  <c r="J257" i="14" s="1"/>
  <c r="D261" i="14"/>
  <c r="J261" i="14" s="1"/>
  <c r="D262" i="14"/>
  <c r="J262" i="14" s="1"/>
  <c r="D273" i="14"/>
  <c r="J273" i="14" s="1"/>
  <c r="D269" i="14"/>
  <c r="J269" i="14" s="1"/>
  <c r="D272" i="14"/>
  <c r="J272" i="14" s="1"/>
  <c r="D268" i="14"/>
  <c r="J268" i="14" s="1"/>
  <c r="D260" i="14"/>
  <c r="J260" i="14" s="1"/>
  <c r="D254" i="14"/>
  <c r="J254" i="14" s="1"/>
  <c r="D263" i="14"/>
  <c r="J263" i="14" s="1"/>
  <c r="D266" i="14"/>
  <c r="J266" i="14" s="1"/>
  <c r="D275" i="14"/>
  <c r="J275" i="14" s="1"/>
  <c r="D258" i="14"/>
  <c r="J258" i="14" s="1"/>
  <c r="D259" i="14"/>
  <c r="J259" i="14" s="1"/>
  <c r="D276" i="14"/>
  <c r="J276" i="14" s="1"/>
  <c r="M180" i="14"/>
  <c r="N180" i="14" s="1"/>
  <c r="Q180" i="14"/>
  <c r="R180" i="14" s="1"/>
  <c r="L180" i="14"/>
  <c r="K181" i="14"/>
  <c r="Y178" i="14"/>
  <c r="H41" i="14"/>
  <c r="H42" i="14"/>
  <c r="U179" i="14"/>
  <c r="X179" i="14" s="1"/>
  <c r="S179" i="14"/>
  <c r="V179" i="14" s="1"/>
  <c r="T179" i="14"/>
  <c r="W179" i="14" s="1"/>
  <c r="Z179" i="14" l="1"/>
  <c r="Y179" i="14"/>
  <c r="AA179" i="14"/>
  <c r="I281" i="14"/>
  <c r="D281" i="14"/>
  <c r="J281" i="14" s="1"/>
  <c r="I296" i="14"/>
  <c r="D296" i="14"/>
  <c r="J296" i="14" s="1"/>
  <c r="O86" i="14"/>
  <c r="P85" i="14"/>
  <c r="I289" i="14"/>
  <c r="D289" i="14"/>
  <c r="J289" i="14" s="1"/>
  <c r="I295" i="14"/>
  <c r="D295" i="14"/>
  <c r="J295" i="14" s="1"/>
  <c r="I288" i="14"/>
  <c r="D288" i="14"/>
  <c r="J288" i="14" s="1"/>
  <c r="G184" i="14"/>
  <c r="G195" i="14"/>
  <c r="G179" i="14"/>
  <c r="G199" i="14"/>
  <c r="G185" i="14"/>
  <c r="G186" i="14"/>
  <c r="G194" i="14"/>
  <c r="G196" i="14"/>
  <c r="G180" i="14"/>
  <c r="G178" i="14"/>
  <c r="G193" i="14"/>
  <c r="G189" i="14"/>
  <c r="G192" i="14"/>
  <c r="G188" i="14"/>
  <c r="G183" i="14"/>
  <c r="G182" i="14"/>
  <c r="G177" i="14"/>
  <c r="G200" i="14"/>
  <c r="G198" i="14"/>
  <c r="G197" i="14"/>
  <c r="G181" i="14"/>
  <c r="G190" i="14"/>
  <c r="G176" i="14"/>
  <c r="G187" i="14"/>
  <c r="G191" i="14"/>
  <c r="M181" i="14"/>
  <c r="N181" i="14" s="1"/>
  <c r="Q181" i="14"/>
  <c r="R181" i="14" s="1"/>
  <c r="L181" i="14"/>
  <c r="K182" i="14"/>
  <c r="H64" i="14"/>
  <c r="H63" i="14"/>
  <c r="I293" i="14"/>
  <c r="D293" i="14"/>
  <c r="J293" i="14" s="1"/>
  <c r="I279" i="14"/>
  <c r="D279" i="14"/>
  <c r="J279" i="14" s="1"/>
  <c r="I287" i="14"/>
  <c r="D287" i="14"/>
  <c r="J287" i="14" s="1"/>
  <c r="I285" i="14"/>
  <c r="D285" i="14"/>
  <c r="J285" i="14" s="1"/>
  <c r="I300" i="14"/>
  <c r="D300" i="14"/>
  <c r="J300" i="14" s="1"/>
  <c r="U180" i="14"/>
  <c r="X180" i="14" s="1"/>
  <c r="S180" i="14"/>
  <c r="V180" i="14" s="1"/>
  <c r="T180" i="14"/>
  <c r="W180" i="14" s="1"/>
  <c r="H56" i="14"/>
  <c r="H57" i="14"/>
  <c r="I298" i="14"/>
  <c r="D298" i="14"/>
  <c r="J298" i="14" s="1"/>
  <c r="I294" i="14"/>
  <c r="D294" i="14"/>
  <c r="J294" i="14" s="1"/>
  <c r="I291" i="14"/>
  <c r="D291" i="14"/>
  <c r="J291" i="14" s="1"/>
  <c r="D230" i="14"/>
  <c r="J229" i="14"/>
  <c r="I297" i="14"/>
  <c r="D297" i="14"/>
  <c r="J297" i="14" s="1"/>
  <c r="I290" i="14"/>
  <c r="D290" i="14"/>
  <c r="J290" i="14" s="1"/>
  <c r="I284" i="14"/>
  <c r="D284" i="14"/>
  <c r="J284" i="14" s="1"/>
  <c r="I286" i="14"/>
  <c r="D286" i="14"/>
  <c r="J286" i="14" s="1"/>
  <c r="I299" i="14"/>
  <c r="D299" i="14"/>
  <c r="J299" i="14" s="1"/>
  <c r="I283" i="14"/>
  <c r="D283" i="14"/>
  <c r="J283" i="14" s="1"/>
  <c r="I278" i="14"/>
  <c r="D278" i="14"/>
  <c r="J278" i="14" s="1"/>
  <c r="I282" i="14"/>
  <c r="D282" i="14"/>
  <c r="J282" i="14" s="1"/>
  <c r="I280" i="14"/>
  <c r="D280" i="14"/>
  <c r="J280" i="14" s="1"/>
  <c r="I277" i="14"/>
  <c r="D277" i="14"/>
  <c r="J277" i="14" s="1"/>
  <c r="I292" i="14"/>
  <c r="D292" i="14"/>
  <c r="J292" i="14" s="1"/>
  <c r="Z180" i="14" l="1"/>
  <c r="Y180" i="14"/>
  <c r="AA180" i="14"/>
  <c r="D231" i="14"/>
  <c r="J230" i="14"/>
  <c r="G268" i="14"/>
  <c r="G254" i="14"/>
  <c r="G269" i="14"/>
  <c r="G258" i="14"/>
  <c r="G276" i="14"/>
  <c r="G260" i="14"/>
  <c r="G256" i="14"/>
  <c r="G271" i="14"/>
  <c r="G273" i="14"/>
  <c r="G275" i="14"/>
  <c r="G251" i="14"/>
  <c r="G274" i="14"/>
  <c r="G264" i="14"/>
  <c r="G261" i="14"/>
  <c r="G253" i="14"/>
  <c r="G259" i="14"/>
  <c r="G257" i="14"/>
  <c r="G270" i="14"/>
  <c r="G263" i="14"/>
  <c r="G266" i="14"/>
  <c r="G267" i="14"/>
  <c r="G262" i="14"/>
  <c r="G272" i="14"/>
  <c r="G252" i="14"/>
  <c r="G265" i="14"/>
  <c r="G255" i="14"/>
  <c r="M182" i="14"/>
  <c r="N182" i="14" s="1"/>
  <c r="Q182" i="14"/>
  <c r="R182" i="14" s="1"/>
  <c r="L182" i="14"/>
  <c r="K183" i="14"/>
  <c r="U181" i="14"/>
  <c r="X181" i="14" s="1"/>
  <c r="S181" i="14"/>
  <c r="V181" i="14" s="1"/>
  <c r="T181" i="14"/>
  <c r="W181" i="14" s="1"/>
  <c r="O87" i="14"/>
  <c r="P86" i="14"/>
  <c r="H282" i="14"/>
  <c r="G282" i="14" s="1"/>
  <c r="H319" i="14"/>
  <c r="G319" i="14" s="1"/>
  <c r="H332" i="14"/>
  <c r="G332" i="14" s="1"/>
  <c r="H359" i="14"/>
  <c r="G359" i="14" s="1"/>
  <c r="H315" i="14"/>
  <c r="G315" i="14" s="1"/>
  <c r="H324" i="14"/>
  <c r="G324" i="14" s="1"/>
  <c r="H303" i="14"/>
  <c r="G303" i="14" s="1"/>
  <c r="H311" i="14"/>
  <c r="G311" i="14" s="1"/>
  <c r="H326" i="14"/>
  <c r="G326" i="14" s="1"/>
  <c r="H346" i="14"/>
  <c r="G346" i="14" s="1"/>
  <c r="H343" i="14"/>
  <c r="G343" i="14" s="1"/>
  <c r="H301" i="14"/>
  <c r="G301" i="14" s="1"/>
  <c r="H288" i="14"/>
  <c r="G288" i="14" s="1"/>
  <c r="H344" i="14"/>
  <c r="G344" i="14" s="1"/>
  <c r="H354" i="14"/>
  <c r="G354" i="14" s="1"/>
  <c r="H330" i="14"/>
  <c r="G330" i="14" s="1"/>
  <c r="H306" i="14"/>
  <c r="G306" i="14" s="1"/>
  <c r="H284" i="14"/>
  <c r="G284" i="14" s="1"/>
  <c r="H361" i="14"/>
  <c r="G361" i="14" s="1"/>
  <c r="H314" i="14"/>
  <c r="G314" i="14" s="1"/>
  <c r="H338" i="14"/>
  <c r="G338" i="14" s="1"/>
  <c r="H299" i="14"/>
  <c r="G299" i="14" s="1"/>
  <c r="H304" i="14"/>
  <c r="G304" i="14" s="1"/>
  <c r="H322" i="14"/>
  <c r="G322" i="14" s="1"/>
  <c r="H276" i="14"/>
  <c r="H305" i="14"/>
  <c r="G305" i="14" s="1"/>
  <c r="H368" i="14"/>
  <c r="G368" i="14" s="1"/>
  <c r="H336" i="14"/>
  <c r="G336" i="14" s="1"/>
  <c r="H307" i="14"/>
  <c r="G307" i="14" s="1"/>
  <c r="H316" i="14"/>
  <c r="G316" i="14" s="1"/>
  <c r="H335" i="14"/>
  <c r="G335" i="14" s="1"/>
  <c r="H355" i="14"/>
  <c r="G355" i="14" s="1"/>
  <c r="H369" i="14"/>
  <c r="G369" i="14" s="1"/>
  <c r="H285" i="14"/>
  <c r="G285" i="14" s="1"/>
  <c r="H300" i="14"/>
  <c r="G300" i="14" s="1"/>
  <c r="H281" i="14"/>
  <c r="G281" i="14" s="1"/>
  <c r="H295" i="14"/>
  <c r="G295" i="14" s="1"/>
  <c r="H279" i="14"/>
  <c r="G279" i="14" s="1"/>
  <c r="H363" i="14"/>
  <c r="G363" i="14" s="1"/>
  <c r="H341" i="14"/>
  <c r="G341" i="14" s="1"/>
  <c r="H309" i="14"/>
  <c r="G309" i="14" s="1"/>
  <c r="H350" i="14"/>
  <c r="G350" i="14" s="1"/>
  <c r="H280" i="14"/>
  <c r="G280" i="14" s="1"/>
  <c r="H348" i="14"/>
  <c r="G348" i="14" s="1"/>
  <c r="H365" i="14"/>
  <c r="G365" i="14" s="1"/>
  <c r="H345" i="14"/>
  <c r="G345" i="14" s="1"/>
  <c r="H329" i="14"/>
  <c r="G329" i="14" s="1"/>
  <c r="H347" i="14"/>
  <c r="G347" i="14" s="1"/>
  <c r="H278" i="14"/>
  <c r="G278" i="14" s="1"/>
  <c r="H331" i="14"/>
  <c r="G331" i="14" s="1"/>
  <c r="H373" i="14"/>
  <c r="G373" i="14" s="1"/>
  <c r="H291" i="14"/>
  <c r="G291" i="14" s="1"/>
  <c r="H376" i="14"/>
  <c r="G376" i="14" s="1"/>
  <c r="H366" i="14"/>
  <c r="G366" i="14" s="1"/>
  <c r="H302" i="14"/>
  <c r="G302" i="14" s="1"/>
  <c r="H296" i="14"/>
  <c r="G296" i="14" s="1"/>
  <c r="H283" i="14"/>
  <c r="G283" i="14" s="1"/>
  <c r="H325" i="14"/>
  <c r="G325" i="14" s="1"/>
  <c r="H353" i="14"/>
  <c r="G353" i="14" s="1"/>
  <c r="H374" i="14"/>
  <c r="G374" i="14" s="1"/>
  <c r="H371" i="14"/>
  <c r="G371" i="14" s="1"/>
  <c r="H317" i="14"/>
  <c r="G317" i="14" s="1"/>
  <c r="H289" i="14"/>
  <c r="G289" i="14" s="1"/>
  <c r="H372" i="14"/>
  <c r="G372" i="14" s="1"/>
  <c r="H310" i="14"/>
  <c r="G310" i="14" s="1"/>
  <c r="H321" i="14"/>
  <c r="G321" i="14" s="1"/>
  <c r="H357" i="14"/>
  <c r="G357" i="14" s="1"/>
  <c r="H327" i="14"/>
  <c r="G327" i="14" s="1"/>
  <c r="H277" i="14"/>
  <c r="G277" i="14" s="1"/>
  <c r="H349" i="14"/>
  <c r="G349" i="14" s="1"/>
  <c r="H356" i="14"/>
  <c r="G356" i="14" s="1"/>
  <c r="H352" i="14"/>
  <c r="G352" i="14" s="1"/>
  <c r="H367" i="14"/>
  <c r="G367" i="14" s="1"/>
  <c r="H334" i="14"/>
  <c r="G334" i="14" s="1"/>
  <c r="H320" i="14"/>
  <c r="G320" i="14" s="1"/>
  <c r="H364" i="14"/>
  <c r="G364" i="14" s="1"/>
  <c r="H293" i="14"/>
  <c r="G293" i="14" s="1"/>
  <c r="H360" i="14"/>
  <c r="G360" i="14" s="1"/>
  <c r="H340" i="14"/>
  <c r="G340" i="14" s="1"/>
  <c r="H292" i="14"/>
  <c r="G292" i="14" s="1"/>
  <c r="H375" i="14"/>
  <c r="G375" i="14" s="1"/>
  <c r="H297" i="14"/>
  <c r="G297" i="14" s="1"/>
  <c r="H298" i="14"/>
  <c r="G298" i="14" s="1"/>
  <c r="H333" i="14"/>
  <c r="G333" i="14" s="1"/>
  <c r="H358" i="14"/>
  <c r="G358" i="14" s="1"/>
  <c r="H286" i="14"/>
  <c r="G286" i="14" s="1"/>
  <c r="H342" i="14"/>
  <c r="G342" i="14" s="1"/>
  <c r="H308" i="14"/>
  <c r="G308" i="14" s="1"/>
  <c r="H313" i="14"/>
  <c r="G313" i="14" s="1"/>
  <c r="H294" i="14"/>
  <c r="G294" i="14" s="1"/>
  <c r="H328" i="14"/>
  <c r="G328" i="14" s="1"/>
  <c r="H323" i="14"/>
  <c r="G323" i="14" s="1"/>
  <c r="H370" i="14"/>
  <c r="G370" i="14" s="1"/>
  <c r="H318" i="14"/>
  <c r="G318" i="14" s="1"/>
  <c r="H312" i="14"/>
  <c r="G312" i="14" s="1"/>
  <c r="H337" i="14"/>
  <c r="G337" i="14" s="1"/>
  <c r="H351" i="14"/>
  <c r="G351" i="14" s="1"/>
  <c r="H287" i="14"/>
  <c r="G287" i="14" s="1"/>
  <c r="H290" i="14"/>
  <c r="G290" i="14" s="1"/>
  <c r="H339" i="14"/>
  <c r="G339" i="14" s="1"/>
  <c r="H362" i="14"/>
  <c r="G362" i="14" s="1"/>
  <c r="Z181" i="14" l="1"/>
  <c r="Y181" i="14"/>
  <c r="M183" i="14"/>
  <c r="N183" i="14" s="1"/>
  <c r="Q183" i="14"/>
  <c r="R183" i="14" s="1"/>
  <c r="L183" i="14"/>
  <c r="K184" i="14"/>
  <c r="U182" i="14"/>
  <c r="X182" i="14" s="1"/>
  <c r="S182" i="14"/>
  <c r="V182" i="14" s="1"/>
  <c r="T182" i="14"/>
  <c r="W182" i="14" s="1"/>
  <c r="O88" i="14"/>
  <c r="P87" i="14"/>
  <c r="AA181" i="14"/>
  <c r="D232" i="14"/>
  <c r="J231" i="14"/>
  <c r="Y182" i="14" l="1"/>
  <c r="Z182" i="14"/>
  <c r="D233" i="14"/>
  <c r="J232" i="14"/>
  <c r="U183" i="14"/>
  <c r="X183" i="14" s="1"/>
  <c r="S183" i="14"/>
  <c r="V183" i="14" s="1"/>
  <c r="T183" i="14"/>
  <c r="W183" i="14" s="1"/>
  <c r="O89" i="14"/>
  <c r="P88" i="14"/>
  <c r="M184" i="14"/>
  <c r="N184" i="14" s="1"/>
  <c r="Q184" i="14"/>
  <c r="R184" i="14" s="1"/>
  <c r="L184" i="14"/>
  <c r="K185" i="14"/>
  <c r="AA182" i="14"/>
  <c r="Y183" i="14" l="1"/>
  <c r="M185" i="14"/>
  <c r="N185" i="14" s="1"/>
  <c r="Q185" i="14"/>
  <c r="R185" i="14" s="1"/>
  <c r="L185" i="14"/>
  <c r="K186" i="14"/>
  <c r="D234" i="14"/>
  <c r="J233" i="14"/>
  <c r="U184" i="14"/>
  <c r="X184" i="14" s="1"/>
  <c r="S184" i="14"/>
  <c r="V184" i="14" s="1"/>
  <c r="T184" i="14"/>
  <c r="W184" i="14" s="1"/>
  <c r="O90" i="14"/>
  <c r="P89" i="14"/>
  <c r="AA183" i="14"/>
  <c r="Z183" i="14"/>
  <c r="Y184" i="14" l="1"/>
  <c r="D235" i="14"/>
  <c r="J234" i="14"/>
  <c r="Z184" i="14"/>
  <c r="O91" i="14"/>
  <c r="P90" i="14"/>
  <c r="AA184" i="14"/>
  <c r="U185" i="14"/>
  <c r="X185" i="14" s="1"/>
  <c r="S185" i="14"/>
  <c r="V185" i="14" s="1"/>
  <c r="T185" i="14"/>
  <c r="W185" i="14" s="1"/>
  <c r="M186" i="14"/>
  <c r="N186" i="14" s="1"/>
  <c r="Q186" i="14"/>
  <c r="R186" i="14" s="1"/>
  <c r="L186" i="14"/>
  <c r="K187" i="14"/>
  <c r="AA185" i="14" l="1"/>
  <c r="Z185" i="14"/>
  <c r="Y185" i="14"/>
  <c r="U186" i="14"/>
  <c r="X186" i="14" s="1"/>
  <c r="S186" i="14"/>
  <c r="V186" i="14" s="1"/>
  <c r="T186" i="14"/>
  <c r="W186" i="14" s="1"/>
  <c r="O92" i="14"/>
  <c r="P91" i="14"/>
  <c r="D236" i="14"/>
  <c r="J235" i="14"/>
  <c r="M187" i="14"/>
  <c r="N187" i="14" s="1"/>
  <c r="Q187" i="14"/>
  <c r="R187" i="14" s="1"/>
  <c r="L187" i="14"/>
  <c r="K188" i="14"/>
  <c r="Y186" i="14" l="1"/>
  <c r="AA186" i="14"/>
  <c r="U187" i="14"/>
  <c r="X187" i="14" s="1"/>
  <c r="S187" i="14"/>
  <c r="V187" i="14" s="1"/>
  <c r="T187" i="14"/>
  <c r="W187" i="14" s="1"/>
  <c r="D237" i="14"/>
  <c r="J236" i="14"/>
  <c r="Z186" i="14"/>
  <c r="O93" i="14"/>
  <c r="P92" i="14"/>
  <c r="M188" i="14"/>
  <c r="N188" i="14" s="1"/>
  <c r="Q188" i="14"/>
  <c r="R188" i="14" s="1"/>
  <c r="L188" i="14"/>
  <c r="K189" i="14"/>
  <c r="Y187" i="14" l="1"/>
  <c r="Z187" i="14"/>
  <c r="AA187" i="14"/>
  <c r="D238" i="14"/>
  <c r="J237" i="14"/>
  <c r="O94" i="14"/>
  <c r="P93" i="14"/>
  <c r="U188" i="14"/>
  <c r="X188" i="14" s="1"/>
  <c r="S188" i="14"/>
  <c r="V188" i="14" s="1"/>
  <c r="T188" i="14"/>
  <c r="W188" i="14" s="1"/>
  <c r="M189" i="14"/>
  <c r="N189" i="14" s="1"/>
  <c r="Q189" i="14"/>
  <c r="R189" i="14" s="1"/>
  <c r="L189" i="14"/>
  <c r="K190" i="14"/>
  <c r="Z188" i="14" l="1"/>
  <c r="Y188" i="14"/>
  <c r="AA188" i="14"/>
  <c r="U189" i="14"/>
  <c r="X189" i="14" s="1"/>
  <c r="S189" i="14"/>
  <c r="V189" i="14" s="1"/>
  <c r="T189" i="14"/>
  <c r="W189" i="14" s="1"/>
  <c r="D239" i="14"/>
  <c r="J238" i="14"/>
  <c r="M190" i="14"/>
  <c r="N190" i="14" s="1"/>
  <c r="Q190" i="14"/>
  <c r="R190" i="14" s="1"/>
  <c r="L190" i="14"/>
  <c r="K191" i="14"/>
  <c r="O95" i="14"/>
  <c r="P94" i="14"/>
  <c r="Z189" i="14" l="1"/>
  <c r="AA189" i="14"/>
  <c r="Y189" i="14"/>
  <c r="O96" i="14"/>
  <c r="P95" i="14"/>
  <c r="U190" i="14"/>
  <c r="X190" i="14" s="1"/>
  <c r="S190" i="14"/>
  <c r="V190" i="14" s="1"/>
  <c r="T190" i="14"/>
  <c r="W190" i="14" s="1"/>
  <c r="D240" i="14"/>
  <c r="J239" i="14"/>
  <c r="M191" i="14"/>
  <c r="N191" i="14" s="1"/>
  <c r="Q191" i="14"/>
  <c r="R191" i="14" s="1"/>
  <c r="L191" i="14"/>
  <c r="K192" i="14"/>
  <c r="AA190" i="14" l="1"/>
  <c r="M192" i="14"/>
  <c r="N192" i="14" s="1"/>
  <c r="Q192" i="14"/>
  <c r="R192" i="14" s="1"/>
  <c r="L192" i="14"/>
  <c r="K193" i="14"/>
  <c r="Z190" i="14"/>
  <c r="O97" i="14"/>
  <c r="P96" i="14"/>
  <c r="U191" i="14"/>
  <c r="X191" i="14" s="1"/>
  <c r="S191" i="14"/>
  <c r="V191" i="14" s="1"/>
  <c r="T191" i="14"/>
  <c r="W191" i="14" s="1"/>
  <c r="Y190" i="14"/>
  <c r="D241" i="14"/>
  <c r="J240" i="14"/>
  <c r="AA191" i="14" l="1"/>
  <c r="Z191" i="14"/>
  <c r="M193" i="14"/>
  <c r="N193" i="14" s="1"/>
  <c r="Q193" i="14"/>
  <c r="R193" i="14" s="1"/>
  <c r="L193" i="14"/>
  <c r="K194" i="14"/>
  <c r="J241" i="14"/>
  <c r="D242" i="14"/>
  <c r="Y191" i="14"/>
  <c r="U192" i="14"/>
  <c r="X192" i="14" s="1"/>
  <c r="S192" i="14"/>
  <c r="V192" i="14" s="1"/>
  <c r="T192" i="14"/>
  <c r="W192" i="14" s="1"/>
  <c r="O98" i="14"/>
  <c r="P97" i="14"/>
  <c r="Z192" i="14" l="1"/>
  <c r="Y192" i="14"/>
  <c r="AA192" i="14"/>
  <c r="O99" i="14"/>
  <c r="P98" i="14"/>
  <c r="M194" i="14"/>
  <c r="N194" i="14" s="1"/>
  <c r="Q194" i="14"/>
  <c r="R194" i="14" s="1"/>
  <c r="L194" i="14"/>
  <c r="K195" i="14"/>
  <c r="D243" i="14"/>
  <c r="J242" i="14"/>
  <c r="U193" i="14"/>
  <c r="X193" i="14" s="1"/>
  <c r="S193" i="14"/>
  <c r="V193" i="14" s="1"/>
  <c r="T193" i="14"/>
  <c r="W193" i="14" s="1"/>
  <c r="Z193" i="14" l="1"/>
  <c r="Y193" i="14"/>
  <c r="AA193" i="14"/>
  <c r="U194" i="14"/>
  <c r="X194" i="14" s="1"/>
  <c r="S194" i="14"/>
  <c r="V194" i="14" s="1"/>
  <c r="T194" i="14"/>
  <c r="W194" i="14" s="1"/>
  <c r="M195" i="14"/>
  <c r="N195" i="14" s="1"/>
  <c r="Q195" i="14"/>
  <c r="R195" i="14" s="1"/>
  <c r="L195" i="14"/>
  <c r="K196" i="14"/>
  <c r="O100" i="14"/>
  <c r="P99" i="14"/>
  <c r="D244" i="14"/>
  <c r="J243" i="14"/>
  <c r="Z194" i="14" l="1"/>
  <c r="AA194" i="14"/>
  <c r="Y194" i="14"/>
  <c r="D245" i="14"/>
  <c r="J244" i="14"/>
  <c r="U195" i="14"/>
  <c r="X195" i="14" s="1"/>
  <c r="S195" i="14"/>
  <c r="V195" i="14" s="1"/>
  <c r="T195" i="14"/>
  <c r="W195" i="14" s="1"/>
  <c r="O101" i="14"/>
  <c r="P100" i="14"/>
  <c r="M196" i="14"/>
  <c r="N196" i="14" s="1"/>
  <c r="Q196" i="14"/>
  <c r="R196" i="14" s="1"/>
  <c r="L196" i="14"/>
  <c r="K197" i="14"/>
  <c r="Z195" i="14" l="1"/>
  <c r="U196" i="14"/>
  <c r="X196" i="14" s="1"/>
  <c r="S196" i="14"/>
  <c r="V196" i="14" s="1"/>
  <c r="T196" i="14"/>
  <c r="W196" i="14" s="1"/>
  <c r="Y195" i="14"/>
  <c r="O102" i="14"/>
  <c r="P101" i="14"/>
  <c r="AA195" i="14"/>
  <c r="J245" i="14"/>
  <c r="D246" i="14"/>
  <c r="M197" i="14"/>
  <c r="N197" i="14" s="1"/>
  <c r="Q197" i="14"/>
  <c r="R197" i="14" s="1"/>
  <c r="L197" i="14"/>
  <c r="K198" i="14"/>
  <c r="Z196" i="14" l="1"/>
  <c r="U197" i="14"/>
  <c r="X197" i="14" s="1"/>
  <c r="S197" i="14"/>
  <c r="T197" i="14"/>
  <c r="W197" i="14" s="1"/>
  <c r="O103" i="14"/>
  <c r="P102" i="14"/>
  <c r="V197" i="14"/>
  <c r="Y196" i="14"/>
  <c r="J246" i="14"/>
  <c r="D247" i="14"/>
  <c r="AA196" i="14"/>
  <c r="M198" i="14"/>
  <c r="N198" i="14" s="1"/>
  <c r="Q198" i="14"/>
  <c r="R198" i="14" s="1"/>
  <c r="L198" i="14"/>
  <c r="K199" i="14"/>
  <c r="Z197" i="14" l="1"/>
  <c r="Y197" i="14"/>
  <c r="AA197" i="14"/>
  <c r="D248" i="14"/>
  <c r="J247" i="14"/>
  <c r="U198" i="14"/>
  <c r="X198" i="14" s="1"/>
  <c r="S198" i="14"/>
  <c r="V198" i="14" s="1"/>
  <c r="T198" i="14"/>
  <c r="W198" i="14" s="1"/>
  <c r="O104" i="14"/>
  <c r="P103" i="14"/>
  <c r="M199" i="14"/>
  <c r="N199" i="14" s="1"/>
  <c r="Q199" i="14"/>
  <c r="R199" i="14" s="1"/>
  <c r="L199" i="14"/>
  <c r="K200" i="14"/>
  <c r="Z198" i="14" l="1"/>
  <c r="O105" i="14"/>
  <c r="P104" i="14"/>
  <c r="Y198" i="14"/>
  <c r="D249" i="14"/>
  <c r="J248" i="14"/>
  <c r="AA198" i="14"/>
  <c r="U199" i="14"/>
  <c r="X199" i="14" s="1"/>
  <c r="S199" i="14"/>
  <c r="V199" i="14" s="1"/>
  <c r="T199" i="14"/>
  <c r="W199" i="14" s="1"/>
  <c r="M200" i="14"/>
  <c r="N200" i="14" s="1"/>
  <c r="Q200" i="14"/>
  <c r="R200" i="14" s="1"/>
  <c r="L200" i="14"/>
  <c r="K201" i="14"/>
  <c r="AA199" i="14" l="1"/>
  <c r="Z199" i="14"/>
  <c r="Y199" i="14"/>
  <c r="U200" i="14"/>
  <c r="X200" i="14" s="1"/>
  <c r="S200" i="14"/>
  <c r="V200" i="14" s="1"/>
  <c r="T200" i="14"/>
  <c r="W200" i="14" s="1"/>
  <c r="O106" i="14"/>
  <c r="P105" i="14"/>
  <c r="J249" i="14"/>
  <c r="D250" i="14"/>
  <c r="J250" i="14" s="1"/>
  <c r="M201" i="14"/>
  <c r="N201" i="14" s="1"/>
  <c r="Q201" i="14"/>
  <c r="R201" i="14" s="1"/>
  <c r="L201" i="14"/>
  <c r="K202" i="14"/>
  <c r="AA200" i="14" l="1"/>
  <c r="Y200" i="14"/>
  <c r="S201" i="14"/>
  <c r="V201" i="14" s="1"/>
  <c r="U201" i="14"/>
  <c r="X201" i="14" s="1"/>
  <c r="T201" i="14"/>
  <c r="W201" i="14" s="1"/>
  <c r="Z200" i="14"/>
  <c r="O107" i="14"/>
  <c r="P106" i="14"/>
  <c r="M202" i="14"/>
  <c r="N202" i="14" s="1"/>
  <c r="Q202" i="14"/>
  <c r="R202" i="14" s="1"/>
  <c r="L202" i="14"/>
  <c r="K203" i="14"/>
  <c r="AA201" i="14" l="1"/>
  <c r="Y201" i="14"/>
  <c r="U202" i="14"/>
  <c r="X202" i="14" s="1"/>
  <c r="S202" i="14"/>
  <c r="V202" i="14" s="1"/>
  <c r="T202" i="14"/>
  <c r="W202" i="14" s="1"/>
  <c r="M203" i="14"/>
  <c r="N203" i="14" s="1"/>
  <c r="Q203" i="14"/>
  <c r="R203" i="14" s="1"/>
  <c r="L203" i="14"/>
  <c r="K204" i="14"/>
  <c r="O108" i="14"/>
  <c r="P107" i="14"/>
  <c r="Z201" i="14"/>
  <c r="Z202" i="14" l="1"/>
  <c r="Y202" i="14"/>
  <c r="AA202" i="14"/>
  <c r="M204" i="14"/>
  <c r="N204" i="14" s="1"/>
  <c r="Q204" i="14"/>
  <c r="R204" i="14" s="1"/>
  <c r="L204" i="14"/>
  <c r="K205" i="14"/>
  <c r="O109" i="14"/>
  <c r="P108" i="14"/>
  <c r="U203" i="14"/>
  <c r="X203" i="14" s="1"/>
  <c r="S203" i="14"/>
  <c r="V203" i="14" s="1"/>
  <c r="T203" i="14"/>
  <c r="W203" i="14" s="1"/>
  <c r="Y203" i="14" l="1"/>
  <c r="Z203" i="14"/>
  <c r="AA203" i="14"/>
  <c r="O110" i="14"/>
  <c r="P109" i="14"/>
  <c r="M205" i="14"/>
  <c r="N205" i="14" s="1"/>
  <c r="Q205" i="14"/>
  <c r="R205" i="14" s="1"/>
  <c r="L205" i="14"/>
  <c r="K206" i="14"/>
  <c r="U204" i="14"/>
  <c r="X204" i="14" s="1"/>
  <c r="S204" i="14"/>
  <c r="V204" i="14" s="1"/>
  <c r="T204" i="14"/>
  <c r="W204" i="14" s="1"/>
  <c r="Y204" i="14" l="1"/>
  <c r="Z204" i="14"/>
  <c r="AA204" i="14"/>
  <c r="M206" i="14"/>
  <c r="N206" i="14" s="1"/>
  <c r="Q206" i="14"/>
  <c r="R206" i="14" s="1"/>
  <c r="L206" i="14"/>
  <c r="K207" i="14"/>
  <c r="U205" i="14"/>
  <c r="X205" i="14" s="1"/>
  <c r="S205" i="14"/>
  <c r="V205" i="14" s="1"/>
  <c r="T205" i="14"/>
  <c r="W205" i="14" s="1"/>
  <c r="O111" i="14"/>
  <c r="P110" i="14"/>
  <c r="Z205" i="14" l="1"/>
  <c r="Y205" i="14"/>
  <c r="AA205" i="14"/>
  <c r="O112" i="14"/>
  <c r="P111" i="14"/>
  <c r="M207" i="14"/>
  <c r="N207" i="14" s="1"/>
  <c r="Q207" i="14"/>
  <c r="R207" i="14" s="1"/>
  <c r="L207" i="14"/>
  <c r="K208" i="14"/>
  <c r="U206" i="14"/>
  <c r="X206" i="14" s="1"/>
  <c r="S206" i="14"/>
  <c r="V206" i="14" s="1"/>
  <c r="T206" i="14"/>
  <c r="W206" i="14" s="1"/>
  <c r="Z206" i="14" l="1"/>
  <c r="Y206" i="14"/>
  <c r="AA206" i="14"/>
  <c r="O113" i="14"/>
  <c r="P112" i="14"/>
  <c r="M208" i="14"/>
  <c r="N208" i="14" s="1"/>
  <c r="Q208" i="14"/>
  <c r="R208" i="14" s="1"/>
  <c r="L208" i="14"/>
  <c r="K209" i="14"/>
  <c r="U207" i="14"/>
  <c r="X207" i="14" s="1"/>
  <c r="S207" i="14"/>
  <c r="V207" i="14" s="1"/>
  <c r="T207" i="14"/>
  <c r="W207" i="14" s="1"/>
  <c r="Y207" i="14" l="1"/>
  <c r="Z207" i="14"/>
  <c r="AA207" i="14"/>
  <c r="U208" i="14"/>
  <c r="X208" i="14" s="1"/>
  <c r="S208" i="14"/>
  <c r="V208" i="14" s="1"/>
  <c r="T208" i="14"/>
  <c r="W208" i="14" s="1"/>
  <c r="O114" i="14"/>
  <c r="P113" i="14"/>
  <c r="M209" i="14"/>
  <c r="N209" i="14" s="1"/>
  <c r="Q209" i="14"/>
  <c r="R209" i="14" s="1"/>
  <c r="L209" i="14"/>
  <c r="K210" i="14"/>
  <c r="AA208" i="14" l="1"/>
  <c r="Y208" i="14"/>
  <c r="M210" i="14"/>
  <c r="N210" i="14" s="1"/>
  <c r="Q210" i="14"/>
  <c r="R210" i="14" s="1"/>
  <c r="L210" i="14"/>
  <c r="K211" i="14"/>
  <c r="U209" i="14"/>
  <c r="X209" i="14" s="1"/>
  <c r="S209" i="14"/>
  <c r="V209" i="14" s="1"/>
  <c r="T209" i="14"/>
  <c r="W209" i="14" s="1"/>
  <c r="O115" i="14"/>
  <c r="P114" i="14"/>
  <c r="Z208" i="14"/>
  <c r="AA209" i="14" l="1"/>
  <c r="Z209" i="14"/>
  <c r="U210" i="14"/>
  <c r="X210" i="14" s="1"/>
  <c r="S210" i="14"/>
  <c r="V210" i="14" s="1"/>
  <c r="T210" i="14"/>
  <c r="W210" i="14" s="1"/>
  <c r="Y209" i="14"/>
  <c r="M211" i="14"/>
  <c r="N211" i="14" s="1"/>
  <c r="Q211" i="14"/>
  <c r="R211" i="14" s="1"/>
  <c r="L211" i="14"/>
  <c r="K212" i="14"/>
  <c r="O116" i="14"/>
  <c r="P115" i="14"/>
  <c r="Z210" i="14" l="1"/>
  <c r="AA210" i="14"/>
  <c r="Y210" i="14"/>
  <c r="M212" i="14"/>
  <c r="N212" i="14" s="1"/>
  <c r="Q212" i="14"/>
  <c r="R212" i="14" s="1"/>
  <c r="L212" i="14"/>
  <c r="K213" i="14"/>
  <c r="U211" i="14"/>
  <c r="X211" i="14" s="1"/>
  <c r="S211" i="14"/>
  <c r="V211" i="14" s="1"/>
  <c r="T211" i="14"/>
  <c r="W211" i="14" s="1"/>
  <c r="O117" i="14"/>
  <c r="P116" i="14"/>
  <c r="AA211" i="14" l="1"/>
  <c r="Z211" i="14"/>
  <c r="Y211" i="14"/>
  <c r="M213" i="14"/>
  <c r="N213" i="14" s="1"/>
  <c r="Q213" i="14"/>
  <c r="R213" i="14" s="1"/>
  <c r="L213" i="14"/>
  <c r="K214" i="14"/>
  <c r="O118" i="14"/>
  <c r="P117" i="14"/>
  <c r="U212" i="14"/>
  <c r="X212" i="14" s="1"/>
  <c r="S212" i="14"/>
  <c r="V212" i="14" s="1"/>
  <c r="T212" i="14"/>
  <c r="W212" i="14" s="1"/>
  <c r="Y212" i="14" l="1"/>
  <c r="Z212" i="14"/>
  <c r="AA212" i="14"/>
  <c r="O119" i="14"/>
  <c r="P118" i="14"/>
  <c r="M214" i="14"/>
  <c r="N214" i="14" s="1"/>
  <c r="Q214" i="14"/>
  <c r="R214" i="14" s="1"/>
  <c r="L214" i="14"/>
  <c r="K215" i="14"/>
  <c r="U213" i="14"/>
  <c r="X213" i="14" s="1"/>
  <c r="S213" i="14"/>
  <c r="V213" i="14" s="1"/>
  <c r="T213" i="14"/>
  <c r="W213" i="14" s="1"/>
  <c r="AA213" i="14" l="1"/>
  <c r="Z213" i="14"/>
  <c r="Y213" i="14"/>
  <c r="M215" i="14"/>
  <c r="N215" i="14" s="1"/>
  <c r="Q215" i="14"/>
  <c r="R215" i="14" s="1"/>
  <c r="L215" i="14"/>
  <c r="K216" i="14"/>
  <c r="U214" i="14"/>
  <c r="X214" i="14" s="1"/>
  <c r="S214" i="14"/>
  <c r="V214" i="14" s="1"/>
  <c r="T214" i="14"/>
  <c r="W214" i="14" s="1"/>
  <c r="O120" i="14"/>
  <c r="P119" i="14"/>
  <c r="AA214" i="14" l="1"/>
  <c r="Z214" i="14"/>
  <c r="Y214" i="14"/>
  <c r="O121" i="14"/>
  <c r="P120" i="14"/>
  <c r="M216" i="14"/>
  <c r="N216" i="14" s="1"/>
  <c r="Q216" i="14"/>
  <c r="R216" i="14" s="1"/>
  <c r="L216" i="14"/>
  <c r="K217" i="14"/>
  <c r="U215" i="14"/>
  <c r="X215" i="14" s="1"/>
  <c r="S215" i="14"/>
  <c r="V215" i="14" s="1"/>
  <c r="T215" i="14"/>
  <c r="W215" i="14" s="1"/>
  <c r="Y215" i="14" l="1"/>
  <c r="Z215" i="14"/>
  <c r="AA215" i="14"/>
  <c r="O122" i="14"/>
  <c r="P121" i="14"/>
  <c r="U216" i="14"/>
  <c r="X216" i="14" s="1"/>
  <c r="S216" i="14"/>
  <c r="V216" i="14" s="1"/>
  <c r="T216" i="14"/>
  <c r="W216" i="14" s="1"/>
  <c r="M217" i="14"/>
  <c r="N217" i="14" s="1"/>
  <c r="Q217" i="14"/>
  <c r="R217" i="14" s="1"/>
  <c r="L217" i="14"/>
  <c r="K218" i="14"/>
  <c r="Y216" i="14" l="1"/>
  <c r="Z216" i="14"/>
  <c r="O123" i="14"/>
  <c r="P122" i="14"/>
  <c r="U217" i="14"/>
  <c r="X217" i="14" s="1"/>
  <c r="S217" i="14"/>
  <c r="V217" i="14" s="1"/>
  <c r="T217" i="14"/>
  <c r="W217" i="14" s="1"/>
  <c r="AA216" i="14"/>
  <c r="M218" i="14"/>
  <c r="N218" i="14" s="1"/>
  <c r="Q218" i="14"/>
  <c r="R218" i="14" s="1"/>
  <c r="L218" i="14"/>
  <c r="K219" i="14"/>
  <c r="AA217" i="14" l="1"/>
  <c r="Y217" i="14"/>
  <c r="U218" i="14"/>
  <c r="X218" i="14" s="1"/>
  <c r="S218" i="14"/>
  <c r="V218" i="14" s="1"/>
  <c r="T218" i="14"/>
  <c r="W218" i="14" s="1"/>
  <c r="O124" i="14"/>
  <c r="P123" i="14"/>
  <c r="Z217" i="14"/>
  <c r="M219" i="14"/>
  <c r="N219" i="14" s="1"/>
  <c r="Q219" i="14"/>
  <c r="R219" i="14" s="1"/>
  <c r="L219" i="14"/>
  <c r="K220" i="14"/>
  <c r="Y218" i="14" l="1"/>
  <c r="Z218" i="14"/>
  <c r="AA218" i="14"/>
  <c r="O125" i="14"/>
  <c r="P124" i="14"/>
  <c r="U219" i="14"/>
  <c r="X219" i="14" s="1"/>
  <c r="S219" i="14"/>
  <c r="V219" i="14" s="1"/>
  <c r="T219" i="14"/>
  <c r="W219" i="14" s="1"/>
  <c r="M220" i="14"/>
  <c r="N220" i="14" s="1"/>
  <c r="Q220" i="14"/>
  <c r="R220" i="14" s="1"/>
  <c r="L220" i="14"/>
  <c r="K221" i="14"/>
  <c r="Y219" i="14" l="1"/>
  <c r="Z219" i="14"/>
  <c r="U220" i="14"/>
  <c r="X220" i="14" s="1"/>
  <c r="S220" i="14"/>
  <c r="V220" i="14" s="1"/>
  <c r="T220" i="14"/>
  <c r="W220" i="14" s="1"/>
  <c r="AA219" i="14"/>
  <c r="O126" i="14"/>
  <c r="P125" i="14"/>
  <c r="M221" i="14"/>
  <c r="N221" i="14" s="1"/>
  <c r="Q221" i="14"/>
  <c r="R221" i="14" s="1"/>
  <c r="L221" i="14"/>
  <c r="K222" i="14"/>
  <c r="Z220" i="14" l="1"/>
  <c r="Y220" i="14"/>
  <c r="U221" i="14"/>
  <c r="X221" i="14" s="1"/>
  <c r="S221" i="14"/>
  <c r="V221" i="14" s="1"/>
  <c r="T221" i="14"/>
  <c r="W221" i="14" s="1"/>
  <c r="AA220" i="14"/>
  <c r="O127" i="14"/>
  <c r="P126" i="14"/>
  <c r="M222" i="14"/>
  <c r="N222" i="14" s="1"/>
  <c r="Q222" i="14"/>
  <c r="R222" i="14" s="1"/>
  <c r="L222" i="14"/>
  <c r="K223" i="14"/>
  <c r="Z221" i="14" l="1"/>
  <c r="Y221" i="14"/>
  <c r="M223" i="14"/>
  <c r="N223" i="14" s="1"/>
  <c r="Q223" i="14"/>
  <c r="R223" i="14" s="1"/>
  <c r="L223" i="14"/>
  <c r="K224" i="14"/>
  <c r="AA221" i="14"/>
  <c r="U222" i="14"/>
  <c r="X222" i="14" s="1"/>
  <c r="S222" i="14"/>
  <c r="V222" i="14" s="1"/>
  <c r="T222" i="14"/>
  <c r="W222" i="14" s="1"/>
  <c r="O128" i="14"/>
  <c r="P127" i="14"/>
  <c r="AA222" i="14" l="1"/>
  <c r="Z222" i="14"/>
  <c r="Y222" i="14"/>
  <c r="O129" i="14"/>
  <c r="P128" i="14"/>
  <c r="M224" i="14"/>
  <c r="N224" i="14" s="1"/>
  <c r="Q224" i="14"/>
  <c r="R224" i="14" s="1"/>
  <c r="L224" i="14"/>
  <c r="K225" i="14"/>
  <c r="U223" i="14"/>
  <c r="X223" i="14" s="1"/>
  <c r="S223" i="14"/>
  <c r="V223" i="14" s="1"/>
  <c r="T223" i="14"/>
  <c r="W223" i="14" s="1"/>
  <c r="Y223" i="14" l="1"/>
  <c r="Z223" i="14"/>
  <c r="AA223" i="14"/>
  <c r="O130" i="14"/>
  <c r="P129" i="14"/>
  <c r="U224" i="14"/>
  <c r="X224" i="14" s="1"/>
  <c r="S224" i="14"/>
  <c r="V224" i="14" s="1"/>
  <c r="T224" i="14"/>
  <c r="W224" i="14" s="1"/>
  <c r="M225" i="14"/>
  <c r="N225" i="14" s="1"/>
  <c r="Q225" i="14"/>
  <c r="R225" i="14" s="1"/>
  <c r="L225" i="14"/>
  <c r="K226" i="14"/>
  <c r="Y224" i="14" l="1"/>
  <c r="Z224" i="14"/>
  <c r="O131" i="14"/>
  <c r="P130" i="14"/>
  <c r="S225" i="14"/>
  <c r="V225" i="14" s="1"/>
  <c r="U225" i="14"/>
  <c r="X225" i="14" s="1"/>
  <c r="T225" i="14"/>
  <c r="W225" i="14" s="1"/>
  <c r="AA224" i="14"/>
  <c r="M226" i="14"/>
  <c r="Q226" i="14"/>
  <c r="R226" i="14" s="1"/>
  <c r="L226" i="14"/>
  <c r="K227" i="14"/>
  <c r="N226" i="14" l="1"/>
  <c r="Y225" i="14"/>
  <c r="AA225" i="14"/>
  <c r="U226" i="14"/>
  <c r="X226" i="14" s="1"/>
  <c r="S226" i="14"/>
  <c r="V226" i="14" s="1"/>
  <c r="T226" i="14"/>
  <c r="W226" i="14" s="1"/>
  <c r="M227" i="14"/>
  <c r="N227" i="14" s="1"/>
  <c r="Q227" i="14"/>
  <c r="R227" i="14" s="1"/>
  <c r="L227" i="14"/>
  <c r="K228" i="14"/>
  <c r="Z225" i="14"/>
  <c r="O132" i="14"/>
  <c r="P131" i="14"/>
  <c r="Z226" i="14" l="1"/>
  <c r="Y226" i="14"/>
  <c r="AA226" i="14"/>
  <c r="M228" i="14"/>
  <c r="N228" i="14" s="1"/>
  <c r="Q228" i="14"/>
  <c r="R228" i="14" s="1"/>
  <c r="L228" i="14"/>
  <c r="K229" i="14"/>
  <c r="O133" i="14"/>
  <c r="P132" i="14"/>
  <c r="U227" i="14"/>
  <c r="X227" i="14" s="1"/>
  <c r="S227" i="14"/>
  <c r="V227" i="14" s="1"/>
  <c r="T227" i="14"/>
  <c r="W227" i="14" s="1"/>
  <c r="Y227" i="14" l="1"/>
  <c r="Z227" i="14"/>
  <c r="AA227" i="14"/>
  <c r="M229" i="14"/>
  <c r="N229" i="14" s="1"/>
  <c r="Q229" i="14"/>
  <c r="R229" i="14" s="1"/>
  <c r="L229" i="14"/>
  <c r="K230" i="14"/>
  <c r="O134" i="14"/>
  <c r="P133" i="14"/>
  <c r="U228" i="14"/>
  <c r="X228" i="14" s="1"/>
  <c r="S228" i="14"/>
  <c r="V228" i="14" s="1"/>
  <c r="T228" i="14"/>
  <c r="W228" i="14" s="1"/>
  <c r="Y228" i="14" l="1"/>
  <c r="Z228" i="14"/>
  <c r="AA228" i="14"/>
  <c r="M230" i="14"/>
  <c r="N230" i="14" s="1"/>
  <c r="Q230" i="14"/>
  <c r="R230" i="14" s="1"/>
  <c r="L230" i="14"/>
  <c r="K231" i="14"/>
  <c r="O135" i="14"/>
  <c r="P134" i="14"/>
  <c r="U229" i="14"/>
  <c r="X229" i="14" s="1"/>
  <c r="S229" i="14"/>
  <c r="V229" i="14" s="1"/>
  <c r="T229" i="14"/>
  <c r="W229" i="14" s="1"/>
  <c r="Y229" i="14" l="1"/>
  <c r="Z229" i="14"/>
  <c r="AA229" i="14"/>
  <c r="M231" i="14"/>
  <c r="N231" i="14" s="1"/>
  <c r="Q231" i="14"/>
  <c r="R231" i="14" s="1"/>
  <c r="L231" i="14"/>
  <c r="K232" i="14"/>
  <c r="O136" i="14"/>
  <c r="P135" i="14"/>
  <c r="U230" i="14"/>
  <c r="X230" i="14" s="1"/>
  <c r="S230" i="14"/>
  <c r="V230" i="14" s="1"/>
  <c r="T230" i="14"/>
  <c r="W230" i="14" s="1"/>
  <c r="Y230" i="14" l="1"/>
  <c r="Z230" i="14"/>
  <c r="AA230" i="14"/>
  <c r="M232" i="14"/>
  <c r="N232" i="14" s="1"/>
  <c r="Q232" i="14"/>
  <c r="R232" i="14" s="1"/>
  <c r="L232" i="14"/>
  <c r="K233" i="14"/>
  <c r="O137" i="14"/>
  <c r="P136" i="14"/>
  <c r="U231" i="14"/>
  <c r="X231" i="14" s="1"/>
  <c r="S231" i="14"/>
  <c r="V231" i="14" s="1"/>
  <c r="T231" i="14"/>
  <c r="W231" i="14" s="1"/>
  <c r="Y231" i="14" l="1"/>
  <c r="Z231" i="14"/>
  <c r="AA231" i="14"/>
  <c r="M233" i="14"/>
  <c r="N233" i="14" s="1"/>
  <c r="Q233" i="14"/>
  <c r="R233" i="14" s="1"/>
  <c r="L233" i="14"/>
  <c r="K234" i="14"/>
  <c r="O138" i="14"/>
  <c r="P137" i="14"/>
  <c r="U232" i="14"/>
  <c r="X232" i="14" s="1"/>
  <c r="S232" i="14"/>
  <c r="V232" i="14" s="1"/>
  <c r="T232" i="14"/>
  <c r="W232" i="14" s="1"/>
  <c r="Y232" i="14" l="1"/>
  <c r="Z232" i="14"/>
  <c r="AA232" i="14"/>
  <c r="O139" i="14"/>
  <c r="P138" i="14"/>
  <c r="M234" i="14"/>
  <c r="N234" i="14" s="1"/>
  <c r="Q234" i="14"/>
  <c r="R234" i="14" s="1"/>
  <c r="L234" i="14"/>
  <c r="K235" i="14"/>
  <c r="U233" i="14"/>
  <c r="X233" i="14" s="1"/>
  <c r="S233" i="14"/>
  <c r="V233" i="14" s="1"/>
  <c r="T233" i="14"/>
  <c r="W233" i="14" s="1"/>
  <c r="Y233" i="14" l="1"/>
  <c r="Z233" i="14"/>
  <c r="AA233" i="14"/>
  <c r="O140" i="14"/>
  <c r="P139" i="14"/>
  <c r="U234" i="14"/>
  <c r="X234" i="14" s="1"/>
  <c r="S234" i="14"/>
  <c r="V234" i="14" s="1"/>
  <c r="T234" i="14"/>
  <c r="W234" i="14" s="1"/>
  <c r="M235" i="14"/>
  <c r="N235" i="14" s="1"/>
  <c r="Q235" i="14"/>
  <c r="R235" i="14" s="1"/>
  <c r="L235" i="14"/>
  <c r="K236" i="14"/>
  <c r="Y234" i="14" l="1"/>
  <c r="Z234" i="14"/>
  <c r="U235" i="14"/>
  <c r="X235" i="14" s="1"/>
  <c r="S235" i="14"/>
  <c r="V235" i="14" s="1"/>
  <c r="T235" i="14"/>
  <c r="W235" i="14" s="1"/>
  <c r="M236" i="14"/>
  <c r="N236" i="14" s="1"/>
  <c r="Q236" i="14"/>
  <c r="R236" i="14" s="1"/>
  <c r="L236" i="14"/>
  <c r="K237" i="14"/>
  <c r="O141" i="14"/>
  <c r="P140" i="14"/>
  <c r="AA234" i="14"/>
  <c r="Z235" i="14" l="1"/>
  <c r="Y235" i="14"/>
  <c r="AA235" i="14"/>
  <c r="M237" i="14"/>
  <c r="N237" i="14" s="1"/>
  <c r="Q237" i="14"/>
  <c r="R237" i="14" s="1"/>
  <c r="L237" i="14"/>
  <c r="K238" i="14"/>
  <c r="O142" i="14"/>
  <c r="P141" i="14"/>
  <c r="U236" i="14"/>
  <c r="X236" i="14" s="1"/>
  <c r="S236" i="14"/>
  <c r="V236" i="14" s="1"/>
  <c r="T236" i="14"/>
  <c r="W236" i="14" s="1"/>
  <c r="Y236" i="14" l="1"/>
  <c r="Z236" i="14"/>
  <c r="AA236" i="14"/>
  <c r="O143" i="14"/>
  <c r="P142" i="14"/>
  <c r="M238" i="14"/>
  <c r="N238" i="14" s="1"/>
  <c r="Q238" i="14"/>
  <c r="R238" i="14" s="1"/>
  <c r="L238" i="14"/>
  <c r="K239" i="14"/>
  <c r="U237" i="14"/>
  <c r="X237" i="14" s="1"/>
  <c r="S237" i="14"/>
  <c r="V237" i="14" s="1"/>
  <c r="T237" i="14"/>
  <c r="W237" i="14" s="1"/>
  <c r="Y237" i="14" l="1"/>
  <c r="Z237" i="14"/>
  <c r="AA237" i="14"/>
  <c r="O144" i="14"/>
  <c r="P143" i="14"/>
  <c r="U238" i="14"/>
  <c r="X238" i="14" s="1"/>
  <c r="S238" i="14"/>
  <c r="V238" i="14" s="1"/>
  <c r="T238" i="14"/>
  <c r="W238" i="14" s="1"/>
  <c r="M239" i="14"/>
  <c r="N239" i="14" s="1"/>
  <c r="Q239" i="14"/>
  <c r="R239" i="14" s="1"/>
  <c r="L239" i="14"/>
  <c r="K240" i="14"/>
  <c r="Y238" i="14" l="1"/>
  <c r="Z238" i="14"/>
  <c r="U239" i="14"/>
  <c r="X239" i="14" s="1"/>
  <c r="S239" i="14"/>
  <c r="V239" i="14" s="1"/>
  <c r="T239" i="14"/>
  <c r="W239" i="14" s="1"/>
  <c r="M240" i="14"/>
  <c r="N240" i="14" s="1"/>
  <c r="Q240" i="14"/>
  <c r="R240" i="14" s="1"/>
  <c r="L240" i="14"/>
  <c r="K241" i="14"/>
  <c r="O145" i="14"/>
  <c r="P144" i="14"/>
  <c r="AA238" i="14"/>
  <c r="Z239" i="14" l="1"/>
  <c r="Y239" i="14"/>
  <c r="M241" i="14"/>
  <c r="N241" i="14" s="1"/>
  <c r="Q241" i="14"/>
  <c r="R241" i="14" s="1"/>
  <c r="L241" i="14"/>
  <c r="K242" i="14"/>
  <c r="AA239" i="14"/>
  <c r="U240" i="14"/>
  <c r="X240" i="14" s="1"/>
  <c r="S240" i="14"/>
  <c r="V240" i="14" s="1"/>
  <c r="T240" i="14"/>
  <c r="W240" i="14" s="1"/>
  <c r="O146" i="14"/>
  <c r="P145" i="14"/>
  <c r="AA240" i="14" l="1"/>
  <c r="Z240" i="14"/>
  <c r="Y240" i="14"/>
  <c r="M242" i="14"/>
  <c r="N242" i="14" s="1"/>
  <c r="Q242" i="14"/>
  <c r="R242" i="14" s="1"/>
  <c r="L242" i="14"/>
  <c r="K243" i="14"/>
  <c r="O147" i="14"/>
  <c r="P146" i="14"/>
  <c r="U241" i="14"/>
  <c r="X241" i="14" s="1"/>
  <c r="S241" i="14"/>
  <c r="V241" i="14" s="1"/>
  <c r="T241" i="14"/>
  <c r="W241" i="14" s="1"/>
  <c r="Y241" i="14" l="1"/>
  <c r="Z241" i="14"/>
  <c r="AA241" i="14"/>
  <c r="M243" i="14"/>
  <c r="N243" i="14" s="1"/>
  <c r="Q243" i="14"/>
  <c r="R243" i="14" s="1"/>
  <c r="L243" i="14"/>
  <c r="K244" i="14"/>
  <c r="O148" i="14"/>
  <c r="P147" i="14"/>
  <c r="U242" i="14"/>
  <c r="X242" i="14" s="1"/>
  <c r="S242" i="14"/>
  <c r="V242" i="14" s="1"/>
  <c r="T242" i="14"/>
  <c r="W242" i="14" s="1"/>
  <c r="Z242" i="14" l="1"/>
  <c r="Y242" i="14"/>
  <c r="AA242" i="14"/>
  <c r="M244" i="14"/>
  <c r="N244" i="14" s="1"/>
  <c r="Q244" i="14"/>
  <c r="R244" i="14" s="1"/>
  <c r="L244" i="14"/>
  <c r="K245" i="14"/>
  <c r="O149" i="14"/>
  <c r="P148" i="14"/>
  <c r="U243" i="14"/>
  <c r="X243" i="14" s="1"/>
  <c r="S243" i="14"/>
  <c r="V243" i="14" s="1"/>
  <c r="T243" i="14"/>
  <c r="W243" i="14" s="1"/>
  <c r="Y243" i="14" l="1"/>
  <c r="Z243" i="14"/>
  <c r="AA243" i="14"/>
  <c r="M245" i="14"/>
  <c r="N245" i="14" s="1"/>
  <c r="Q245" i="14"/>
  <c r="R245" i="14" s="1"/>
  <c r="L245" i="14"/>
  <c r="K246" i="14"/>
  <c r="O150" i="14"/>
  <c r="P149" i="14"/>
  <c r="U244" i="14"/>
  <c r="X244" i="14" s="1"/>
  <c r="S244" i="14"/>
  <c r="V244" i="14" s="1"/>
  <c r="T244" i="14"/>
  <c r="W244" i="14" s="1"/>
  <c r="Z244" i="14" l="1"/>
  <c r="Y244" i="14"/>
  <c r="AA244" i="14"/>
  <c r="O151" i="14"/>
  <c r="P150" i="14"/>
  <c r="M246" i="14"/>
  <c r="N246" i="14" s="1"/>
  <c r="Q246" i="14"/>
  <c r="R246" i="14" s="1"/>
  <c r="L246" i="14"/>
  <c r="K247" i="14"/>
  <c r="U245" i="14"/>
  <c r="X245" i="14" s="1"/>
  <c r="S245" i="14"/>
  <c r="V245" i="14" s="1"/>
  <c r="T245" i="14"/>
  <c r="W245" i="14" s="1"/>
  <c r="Z245" i="14" l="1"/>
  <c r="Y245" i="14"/>
  <c r="AA245" i="14"/>
  <c r="O152" i="14"/>
  <c r="P151" i="14"/>
  <c r="U246" i="14"/>
  <c r="X246" i="14" s="1"/>
  <c r="S246" i="14"/>
  <c r="V246" i="14" s="1"/>
  <c r="T246" i="14"/>
  <c r="W246" i="14" s="1"/>
  <c r="Q247" i="14"/>
  <c r="R247" i="14" s="1"/>
  <c r="M247" i="14"/>
  <c r="N247" i="14" s="1"/>
  <c r="L247" i="14"/>
  <c r="K248" i="14"/>
  <c r="Z246" i="14" l="1"/>
  <c r="M248" i="14"/>
  <c r="N248" i="14" s="1"/>
  <c r="Q248" i="14"/>
  <c r="R248" i="14" s="1"/>
  <c r="L248" i="14"/>
  <c r="K249" i="14"/>
  <c r="Y246" i="14"/>
  <c r="O153" i="14"/>
  <c r="P152" i="14"/>
  <c r="U247" i="14"/>
  <c r="X247" i="14" s="1"/>
  <c r="S247" i="14"/>
  <c r="V247" i="14" s="1"/>
  <c r="T247" i="14"/>
  <c r="W247" i="14" s="1"/>
  <c r="AA246" i="14"/>
  <c r="Z247" i="14" l="1"/>
  <c r="Y247" i="14"/>
  <c r="M249" i="14"/>
  <c r="N249" i="14" s="1"/>
  <c r="Q249" i="14"/>
  <c r="R249" i="14" s="1"/>
  <c r="L249" i="14"/>
  <c r="K250" i="14"/>
  <c r="U248" i="14"/>
  <c r="X248" i="14" s="1"/>
  <c r="S248" i="14"/>
  <c r="V248" i="14" s="1"/>
  <c r="T248" i="14"/>
  <c r="W248" i="14" s="1"/>
  <c r="AA247" i="14"/>
  <c r="O154" i="14"/>
  <c r="P153" i="14"/>
  <c r="Z248" i="14" l="1"/>
  <c r="O155" i="14"/>
  <c r="P154" i="14"/>
  <c r="M250" i="14"/>
  <c r="N250" i="14" s="1"/>
  <c r="Q250" i="14"/>
  <c r="R250" i="14" s="1"/>
  <c r="L250" i="14"/>
  <c r="K251" i="14"/>
  <c r="U249" i="14"/>
  <c r="X249" i="14" s="1"/>
  <c r="S249" i="14"/>
  <c r="V249" i="14" s="1"/>
  <c r="T249" i="14"/>
  <c r="W249" i="14" s="1"/>
  <c r="AA248" i="14"/>
  <c r="Y248" i="14"/>
  <c r="Z249" i="14" l="1"/>
  <c r="O156" i="14"/>
  <c r="P155" i="14"/>
  <c r="M251" i="14"/>
  <c r="N251" i="14" s="1"/>
  <c r="Q251" i="14"/>
  <c r="R251" i="14" s="1"/>
  <c r="L251" i="14"/>
  <c r="K252" i="14"/>
  <c r="U250" i="14"/>
  <c r="X250" i="14" s="1"/>
  <c r="S250" i="14"/>
  <c r="V250" i="14" s="1"/>
  <c r="T250" i="14"/>
  <c r="W250" i="14" s="1"/>
  <c r="Y249" i="14"/>
  <c r="AA249" i="14"/>
  <c r="Z250" i="14" l="1"/>
  <c r="M252" i="14"/>
  <c r="N252" i="14" s="1"/>
  <c r="Q252" i="14"/>
  <c r="R252" i="14" s="1"/>
  <c r="L252" i="14"/>
  <c r="K253" i="14"/>
  <c r="O157" i="14"/>
  <c r="P156" i="14"/>
  <c r="U251" i="14"/>
  <c r="X251" i="14" s="1"/>
  <c r="S251" i="14"/>
  <c r="V251" i="14" s="1"/>
  <c r="T251" i="14"/>
  <c r="W251" i="14" s="1"/>
  <c r="AA250" i="14"/>
  <c r="Y250" i="14"/>
  <c r="Z251" i="14" l="1"/>
  <c r="Y251" i="14"/>
  <c r="AA251" i="14"/>
  <c r="U252" i="14"/>
  <c r="X252" i="14" s="1"/>
  <c r="S252" i="14"/>
  <c r="V252" i="14" s="1"/>
  <c r="T252" i="14"/>
  <c r="W252" i="14" s="1"/>
  <c r="M253" i="14"/>
  <c r="N253" i="14" s="1"/>
  <c r="Q253" i="14"/>
  <c r="R253" i="14" s="1"/>
  <c r="L253" i="14"/>
  <c r="K254" i="14"/>
  <c r="O158" i="14"/>
  <c r="P157" i="14"/>
  <c r="Z252" i="14" l="1"/>
  <c r="AA252" i="14"/>
  <c r="Y252" i="14"/>
  <c r="U253" i="14"/>
  <c r="X253" i="14" s="1"/>
  <c r="S253" i="14"/>
  <c r="V253" i="14" s="1"/>
  <c r="T253" i="14"/>
  <c r="W253" i="14" s="1"/>
  <c r="M254" i="14"/>
  <c r="N254" i="14" s="1"/>
  <c r="Q254" i="14"/>
  <c r="R254" i="14" s="1"/>
  <c r="L254" i="14"/>
  <c r="K255" i="14"/>
  <c r="O159" i="14"/>
  <c r="P158" i="14"/>
  <c r="Y253" i="14" l="1"/>
  <c r="Z253" i="14"/>
  <c r="AA253" i="14"/>
  <c r="M255" i="14"/>
  <c r="N255" i="14" s="1"/>
  <c r="Q255" i="14"/>
  <c r="R255" i="14" s="1"/>
  <c r="L255" i="14"/>
  <c r="K256" i="14"/>
  <c r="O160" i="14"/>
  <c r="P159" i="14"/>
  <c r="U254" i="14"/>
  <c r="X254" i="14" s="1"/>
  <c r="S254" i="14"/>
  <c r="V254" i="14" s="1"/>
  <c r="T254" i="14"/>
  <c r="W254" i="14" s="1"/>
  <c r="Y254" i="14" l="1"/>
  <c r="Z254" i="14"/>
  <c r="AA254" i="14"/>
  <c r="O161" i="14"/>
  <c r="P160" i="14"/>
  <c r="M256" i="14"/>
  <c r="N256" i="14" s="1"/>
  <c r="Q256" i="14"/>
  <c r="R256" i="14" s="1"/>
  <c r="L256" i="14"/>
  <c r="K257" i="14"/>
  <c r="U255" i="14"/>
  <c r="X255" i="14" s="1"/>
  <c r="S255" i="14"/>
  <c r="V255" i="14" s="1"/>
  <c r="T255" i="14"/>
  <c r="W255" i="14" s="1"/>
  <c r="Z255" i="14" l="1"/>
  <c r="Y255" i="14"/>
  <c r="AA255" i="14"/>
  <c r="O162" i="14"/>
  <c r="P161" i="14"/>
  <c r="U256" i="14"/>
  <c r="X256" i="14" s="1"/>
  <c r="S256" i="14"/>
  <c r="V256" i="14" s="1"/>
  <c r="T256" i="14"/>
  <c r="W256" i="14" s="1"/>
  <c r="M257" i="14"/>
  <c r="N257" i="14" s="1"/>
  <c r="Q257" i="14"/>
  <c r="R257" i="14" s="1"/>
  <c r="L257" i="14"/>
  <c r="K258" i="14"/>
  <c r="Y256" i="14" l="1"/>
  <c r="Z256" i="14"/>
  <c r="U257" i="14"/>
  <c r="X257" i="14" s="1"/>
  <c r="S257" i="14"/>
  <c r="V257" i="14" s="1"/>
  <c r="T257" i="14"/>
  <c r="W257" i="14" s="1"/>
  <c r="M258" i="14"/>
  <c r="N258" i="14" s="1"/>
  <c r="Q258" i="14"/>
  <c r="R258" i="14" s="1"/>
  <c r="L258" i="14"/>
  <c r="K259" i="14"/>
  <c r="O163" i="14"/>
  <c r="P162" i="14"/>
  <c r="AA256" i="14"/>
  <c r="Z257" i="14" l="1"/>
  <c r="Y257" i="14"/>
  <c r="M259" i="14"/>
  <c r="N259" i="14" s="1"/>
  <c r="Q259" i="14"/>
  <c r="R259" i="14" s="1"/>
  <c r="L259" i="14"/>
  <c r="K260" i="14"/>
  <c r="O164" i="14"/>
  <c r="P163" i="14"/>
  <c r="U258" i="14"/>
  <c r="X258" i="14" s="1"/>
  <c r="S258" i="14"/>
  <c r="V258" i="14" s="1"/>
  <c r="T258" i="14"/>
  <c r="W258" i="14" s="1"/>
  <c r="AA257" i="14"/>
  <c r="Z258" i="14" l="1"/>
  <c r="Y258" i="14"/>
  <c r="M260" i="14"/>
  <c r="N260" i="14" s="1"/>
  <c r="Q260" i="14"/>
  <c r="R260" i="14" s="1"/>
  <c r="L260" i="14"/>
  <c r="K261" i="14"/>
  <c r="AA258" i="14"/>
  <c r="U259" i="14"/>
  <c r="X259" i="14" s="1"/>
  <c r="S259" i="14"/>
  <c r="V259" i="14" s="1"/>
  <c r="T259" i="14"/>
  <c r="W259" i="14" s="1"/>
  <c r="O165" i="14"/>
  <c r="P164" i="14"/>
  <c r="AA259" i="14" l="1"/>
  <c r="Z259" i="14"/>
  <c r="Y259" i="14"/>
  <c r="M261" i="14"/>
  <c r="N261" i="14" s="1"/>
  <c r="Q261" i="14"/>
  <c r="R261" i="14" s="1"/>
  <c r="L261" i="14"/>
  <c r="K262" i="14"/>
  <c r="O166" i="14"/>
  <c r="P165" i="14"/>
  <c r="U260" i="14"/>
  <c r="X260" i="14" s="1"/>
  <c r="S260" i="14"/>
  <c r="V260" i="14" s="1"/>
  <c r="T260" i="14"/>
  <c r="W260" i="14" s="1"/>
  <c r="Y260" i="14" l="1"/>
  <c r="Z260" i="14"/>
  <c r="AA260" i="14"/>
  <c r="M262" i="14"/>
  <c r="N262" i="14" s="1"/>
  <c r="Q262" i="14"/>
  <c r="R262" i="14" s="1"/>
  <c r="L262" i="14"/>
  <c r="K263" i="14"/>
  <c r="O167" i="14"/>
  <c r="P166" i="14"/>
  <c r="U261" i="14"/>
  <c r="X261" i="14" s="1"/>
  <c r="S261" i="14"/>
  <c r="V261" i="14" s="1"/>
  <c r="T261" i="14"/>
  <c r="W261" i="14" s="1"/>
  <c r="Y261" i="14" l="1"/>
  <c r="Z261" i="14"/>
  <c r="AA261" i="14"/>
  <c r="M263" i="14"/>
  <c r="N263" i="14" s="1"/>
  <c r="Q263" i="14"/>
  <c r="R263" i="14" s="1"/>
  <c r="L263" i="14"/>
  <c r="K264" i="14"/>
  <c r="O168" i="14"/>
  <c r="P167" i="14"/>
  <c r="U262" i="14"/>
  <c r="X262" i="14" s="1"/>
  <c r="S262" i="14"/>
  <c r="V262" i="14" s="1"/>
  <c r="T262" i="14"/>
  <c r="W262" i="14" s="1"/>
  <c r="Y262" i="14" l="1"/>
  <c r="Z262" i="14"/>
  <c r="AA262" i="14"/>
  <c r="M264" i="14"/>
  <c r="N264" i="14" s="1"/>
  <c r="Q264" i="14"/>
  <c r="R264" i="14" s="1"/>
  <c r="L264" i="14"/>
  <c r="K265" i="14"/>
  <c r="O169" i="14"/>
  <c r="P168" i="14"/>
  <c r="U263" i="14"/>
  <c r="X263" i="14" s="1"/>
  <c r="S263" i="14"/>
  <c r="V263" i="14" s="1"/>
  <c r="T263" i="14"/>
  <c r="W263" i="14" s="1"/>
  <c r="Y263" i="14" l="1"/>
  <c r="Z263" i="14"/>
  <c r="AA263" i="14"/>
  <c r="M265" i="14"/>
  <c r="N265" i="14" s="1"/>
  <c r="Q265" i="14"/>
  <c r="R265" i="14" s="1"/>
  <c r="L265" i="14"/>
  <c r="K266" i="14"/>
  <c r="O170" i="14"/>
  <c r="P169" i="14"/>
  <c r="U264" i="14"/>
  <c r="X264" i="14" s="1"/>
  <c r="S264" i="14"/>
  <c r="V264" i="14" s="1"/>
  <c r="T264" i="14"/>
  <c r="W264" i="14" s="1"/>
  <c r="Z264" i="14" l="1"/>
  <c r="AA264" i="14"/>
  <c r="Y264" i="14"/>
  <c r="M266" i="14"/>
  <c r="N266" i="14" s="1"/>
  <c r="Q266" i="14"/>
  <c r="R266" i="14" s="1"/>
  <c r="L266" i="14"/>
  <c r="K267" i="14"/>
  <c r="O171" i="14"/>
  <c r="P170" i="14"/>
  <c r="S265" i="14"/>
  <c r="V265" i="14" s="1"/>
  <c r="U265" i="14"/>
  <c r="X265" i="14" s="1"/>
  <c r="T265" i="14"/>
  <c r="W265" i="14" s="1"/>
  <c r="AA265" i="14" l="1"/>
  <c r="Z265" i="14"/>
  <c r="Y265" i="14"/>
  <c r="Q267" i="14"/>
  <c r="R267" i="14" s="1"/>
  <c r="M267" i="14"/>
  <c r="N267" i="14" s="1"/>
  <c r="L267" i="14"/>
  <c r="K268" i="14"/>
  <c r="O172" i="14"/>
  <c r="P171" i="14"/>
  <c r="U266" i="14"/>
  <c r="X266" i="14" s="1"/>
  <c r="S266" i="14"/>
  <c r="V266" i="14" s="1"/>
  <c r="T266" i="14"/>
  <c r="W266" i="14" s="1"/>
  <c r="Z266" i="14" l="1"/>
  <c r="Y266" i="14"/>
  <c r="AA266" i="14"/>
  <c r="O173" i="14"/>
  <c r="P172" i="14"/>
  <c r="M268" i="14"/>
  <c r="N268" i="14" s="1"/>
  <c r="Q268" i="14"/>
  <c r="R268" i="14" s="1"/>
  <c r="L268" i="14"/>
  <c r="K269" i="14"/>
  <c r="U267" i="14"/>
  <c r="X267" i="14" s="1"/>
  <c r="S267" i="14"/>
  <c r="V267" i="14" s="1"/>
  <c r="T267" i="14"/>
  <c r="W267" i="14" s="1"/>
  <c r="Z267" i="14" l="1"/>
  <c r="Y267" i="14"/>
  <c r="AA267" i="14"/>
  <c r="O174" i="14"/>
  <c r="P173" i="14"/>
  <c r="M269" i="14"/>
  <c r="N269" i="14" s="1"/>
  <c r="Q269" i="14"/>
  <c r="R269" i="14" s="1"/>
  <c r="L269" i="14"/>
  <c r="K270" i="14"/>
  <c r="U268" i="14"/>
  <c r="X268" i="14" s="1"/>
  <c r="S268" i="14"/>
  <c r="V268" i="14" s="1"/>
  <c r="T268" i="14"/>
  <c r="W268" i="14" s="1"/>
  <c r="Z268" i="14" l="1"/>
  <c r="Y268" i="14"/>
  <c r="AA268" i="14"/>
  <c r="U269" i="14"/>
  <c r="X269" i="14" s="1"/>
  <c r="S269" i="14"/>
  <c r="V269" i="14" s="1"/>
  <c r="T269" i="14"/>
  <c r="W269" i="14" s="1"/>
  <c r="O175" i="14"/>
  <c r="P174" i="14"/>
  <c r="Q270" i="14"/>
  <c r="R270" i="14" s="1"/>
  <c r="M270" i="14"/>
  <c r="N270" i="14" s="1"/>
  <c r="L270" i="14"/>
  <c r="K271" i="14"/>
  <c r="Z269" i="14" l="1"/>
  <c r="Y269" i="14"/>
  <c r="AA269" i="14"/>
  <c r="M271" i="14"/>
  <c r="N271" i="14" s="1"/>
  <c r="Q271" i="14"/>
  <c r="R271" i="14" s="1"/>
  <c r="L271" i="14"/>
  <c r="K272" i="14"/>
  <c r="U270" i="14"/>
  <c r="X270" i="14" s="1"/>
  <c r="S270" i="14"/>
  <c r="V270" i="14" s="1"/>
  <c r="T270" i="14"/>
  <c r="W270" i="14" s="1"/>
  <c r="O176" i="14"/>
  <c r="P175" i="14"/>
  <c r="Z270" i="14" l="1"/>
  <c r="Y270" i="14"/>
  <c r="O177" i="14"/>
  <c r="P176" i="14"/>
  <c r="Q272" i="14"/>
  <c r="R272" i="14" s="1"/>
  <c r="M272" i="14"/>
  <c r="N272" i="14" s="1"/>
  <c r="L272" i="14"/>
  <c r="K273" i="14"/>
  <c r="AA270" i="14"/>
  <c r="U271" i="14"/>
  <c r="X271" i="14" s="1"/>
  <c r="S271" i="14"/>
  <c r="V271" i="14" s="1"/>
  <c r="T271" i="14"/>
  <c r="W271" i="14" s="1"/>
  <c r="Z271" i="14" l="1"/>
  <c r="Y271" i="14"/>
  <c r="AA271" i="14"/>
  <c r="O178" i="14"/>
  <c r="P177" i="14"/>
  <c r="M273" i="14"/>
  <c r="N273" i="14" s="1"/>
  <c r="Q273" i="14"/>
  <c r="R273" i="14" s="1"/>
  <c r="L273" i="14"/>
  <c r="K274" i="14"/>
  <c r="U272" i="14"/>
  <c r="X272" i="14" s="1"/>
  <c r="S272" i="14"/>
  <c r="V272" i="14" s="1"/>
  <c r="T272" i="14"/>
  <c r="W272" i="14" s="1"/>
  <c r="Y272" i="14" l="1"/>
  <c r="Z272" i="14"/>
  <c r="AA272" i="14"/>
  <c r="O179" i="14"/>
  <c r="P178" i="14"/>
  <c r="U273" i="14"/>
  <c r="X273" i="14" s="1"/>
  <c r="S273" i="14"/>
  <c r="V273" i="14" s="1"/>
  <c r="T273" i="14"/>
  <c r="W273" i="14" s="1"/>
  <c r="M274" i="14"/>
  <c r="N274" i="14" s="1"/>
  <c r="Q274" i="14"/>
  <c r="R274" i="14" s="1"/>
  <c r="L274" i="14"/>
  <c r="K275" i="14"/>
  <c r="Y273" i="14" l="1"/>
  <c r="Z273" i="14"/>
  <c r="U274" i="14"/>
  <c r="X274" i="14" s="1"/>
  <c r="S274" i="14"/>
  <c r="V274" i="14" s="1"/>
  <c r="T274" i="14"/>
  <c r="W274" i="14" s="1"/>
  <c r="O180" i="14"/>
  <c r="P179" i="14"/>
  <c r="Q275" i="14"/>
  <c r="R275" i="14" s="1"/>
  <c r="M275" i="14"/>
  <c r="N275" i="14" s="1"/>
  <c r="L275" i="14"/>
  <c r="K276" i="14"/>
  <c r="AA273" i="14"/>
  <c r="Z274" i="14" l="1"/>
  <c r="Y274" i="14"/>
  <c r="AA274" i="14"/>
  <c r="U275" i="14"/>
  <c r="X275" i="14" s="1"/>
  <c r="S275" i="14"/>
  <c r="V275" i="14" s="1"/>
  <c r="T275" i="14"/>
  <c r="W275" i="14" s="1"/>
  <c r="O181" i="14"/>
  <c r="P180" i="14"/>
  <c r="M276" i="14"/>
  <c r="Q276" i="14"/>
  <c r="R276" i="14" s="1"/>
  <c r="L276" i="14"/>
  <c r="K277" i="14"/>
  <c r="N276" i="14" l="1"/>
  <c r="Z275" i="14"/>
  <c r="AA275" i="14"/>
  <c r="Y275" i="14"/>
  <c r="U276" i="14"/>
  <c r="X276" i="14" s="1"/>
  <c r="S276" i="14"/>
  <c r="V276" i="14" s="1"/>
  <c r="T276" i="14"/>
  <c r="W276" i="14" s="1"/>
  <c r="O182" i="14"/>
  <c r="P181" i="14"/>
  <c r="M277" i="14"/>
  <c r="N277" i="14" s="1"/>
  <c r="Q277" i="14"/>
  <c r="R277" i="14" s="1"/>
  <c r="L277" i="14"/>
  <c r="K278" i="14"/>
  <c r="Y276" i="14" l="1"/>
  <c r="Z276" i="14"/>
  <c r="AA276" i="14"/>
  <c r="M278" i="14"/>
  <c r="N278" i="14" s="1"/>
  <c r="Q278" i="14"/>
  <c r="R278" i="14" s="1"/>
  <c r="L278" i="14"/>
  <c r="K279" i="14"/>
  <c r="O183" i="14"/>
  <c r="P182" i="14"/>
  <c r="U277" i="14"/>
  <c r="X277" i="14" s="1"/>
  <c r="S277" i="14"/>
  <c r="V277" i="14" s="1"/>
  <c r="T277" i="14"/>
  <c r="W277" i="14" s="1"/>
  <c r="Z277" i="14" l="1"/>
  <c r="Y277" i="14"/>
  <c r="AA277" i="14"/>
  <c r="M279" i="14"/>
  <c r="N279" i="14" s="1"/>
  <c r="Q279" i="14"/>
  <c r="R279" i="14" s="1"/>
  <c r="L279" i="14"/>
  <c r="K280" i="14"/>
  <c r="O184" i="14"/>
  <c r="P183" i="14"/>
  <c r="U278" i="14"/>
  <c r="X278" i="14" s="1"/>
  <c r="S278" i="14"/>
  <c r="V278" i="14" s="1"/>
  <c r="T278" i="14"/>
  <c r="W278" i="14" s="1"/>
  <c r="AA278" i="14" l="1"/>
  <c r="Z278" i="14"/>
  <c r="Y278" i="14"/>
  <c r="O185" i="14"/>
  <c r="P184" i="14"/>
  <c r="M280" i="14"/>
  <c r="N280" i="14" s="1"/>
  <c r="Q280" i="14"/>
  <c r="R280" i="14" s="1"/>
  <c r="L280" i="14"/>
  <c r="K281" i="14"/>
  <c r="U279" i="14"/>
  <c r="X279" i="14" s="1"/>
  <c r="S279" i="14"/>
  <c r="V279" i="14" s="1"/>
  <c r="T279" i="14"/>
  <c r="W279" i="14" s="1"/>
  <c r="Z279" i="14" l="1"/>
  <c r="Y279" i="14"/>
  <c r="AA279" i="14"/>
  <c r="O186" i="14"/>
  <c r="P185" i="14"/>
  <c r="M281" i="14"/>
  <c r="N281" i="14" s="1"/>
  <c r="Q281" i="14"/>
  <c r="R281" i="14" s="1"/>
  <c r="L281" i="14"/>
  <c r="K282" i="14"/>
  <c r="U280" i="14"/>
  <c r="X280" i="14" s="1"/>
  <c r="S280" i="14"/>
  <c r="V280" i="14" s="1"/>
  <c r="T280" i="14"/>
  <c r="W280" i="14" s="1"/>
  <c r="Z280" i="14" l="1"/>
  <c r="AA280" i="14"/>
  <c r="Y280" i="14"/>
  <c r="M282" i="14"/>
  <c r="N282" i="14" s="1"/>
  <c r="Q282" i="14"/>
  <c r="R282" i="14" s="1"/>
  <c r="L282" i="14"/>
  <c r="K283" i="14"/>
  <c r="O187" i="14"/>
  <c r="P186" i="14"/>
  <c r="U281" i="14"/>
  <c r="X281" i="14" s="1"/>
  <c r="S281" i="14"/>
  <c r="V281" i="14" s="1"/>
  <c r="T281" i="14"/>
  <c r="W281" i="14" s="1"/>
  <c r="Z281" i="14" l="1"/>
  <c r="Y281" i="14"/>
  <c r="AA281" i="14"/>
  <c r="O188" i="14"/>
  <c r="P187" i="14"/>
  <c r="M283" i="14"/>
  <c r="N283" i="14" s="1"/>
  <c r="Q283" i="14"/>
  <c r="R283" i="14" s="1"/>
  <c r="L283" i="14"/>
  <c r="K284" i="14"/>
  <c r="U282" i="14"/>
  <c r="X282" i="14" s="1"/>
  <c r="S282" i="14"/>
  <c r="V282" i="14" s="1"/>
  <c r="T282" i="14"/>
  <c r="W282" i="14" s="1"/>
  <c r="Z282" i="14" l="1"/>
  <c r="Y282" i="14"/>
  <c r="AA282" i="14"/>
  <c r="M284" i="14"/>
  <c r="N284" i="14" s="1"/>
  <c r="Q284" i="14"/>
  <c r="R284" i="14" s="1"/>
  <c r="L284" i="14"/>
  <c r="K285" i="14"/>
  <c r="U283" i="14"/>
  <c r="X283" i="14" s="1"/>
  <c r="S283" i="14"/>
  <c r="V283" i="14" s="1"/>
  <c r="T283" i="14"/>
  <c r="W283" i="14" s="1"/>
  <c r="O189" i="14"/>
  <c r="P188" i="14"/>
  <c r="Z283" i="14" l="1"/>
  <c r="Y283" i="14"/>
  <c r="O190" i="14"/>
  <c r="P189" i="14"/>
  <c r="AA283" i="14"/>
  <c r="Q285" i="14"/>
  <c r="R285" i="14" s="1"/>
  <c r="M285" i="14"/>
  <c r="N285" i="14" s="1"/>
  <c r="L285" i="14"/>
  <c r="K286" i="14"/>
  <c r="U284" i="14"/>
  <c r="X284" i="14" s="1"/>
  <c r="S284" i="14"/>
  <c r="V284" i="14" s="1"/>
  <c r="T284" i="14"/>
  <c r="W284" i="14" s="1"/>
  <c r="Z284" i="14" l="1"/>
  <c r="Y284" i="14"/>
  <c r="AA284" i="14"/>
  <c r="Q286" i="14"/>
  <c r="R286" i="14" s="1"/>
  <c r="M286" i="14"/>
  <c r="N286" i="14" s="1"/>
  <c r="L286" i="14"/>
  <c r="K287" i="14"/>
  <c r="U285" i="14"/>
  <c r="X285" i="14" s="1"/>
  <c r="S285" i="14"/>
  <c r="V285" i="14" s="1"/>
  <c r="T285" i="14"/>
  <c r="W285" i="14" s="1"/>
  <c r="O191" i="14"/>
  <c r="P190" i="14"/>
  <c r="Z285" i="14" l="1"/>
  <c r="Y285" i="14"/>
  <c r="O192" i="14"/>
  <c r="P191" i="14"/>
  <c r="AA285" i="14"/>
  <c r="M287" i="14"/>
  <c r="N287" i="14" s="1"/>
  <c r="Q287" i="14"/>
  <c r="R287" i="14" s="1"/>
  <c r="L287" i="14"/>
  <c r="K288" i="14"/>
  <c r="U286" i="14"/>
  <c r="X286" i="14" s="1"/>
  <c r="S286" i="14"/>
  <c r="V286" i="14" s="1"/>
  <c r="T286" i="14"/>
  <c r="W286" i="14" s="1"/>
  <c r="Y286" i="14" l="1"/>
  <c r="Z286" i="14"/>
  <c r="O193" i="14"/>
  <c r="P192" i="14"/>
  <c r="M288" i="14"/>
  <c r="N288" i="14" s="1"/>
  <c r="Q288" i="14"/>
  <c r="R288" i="14" s="1"/>
  <c r="L288" i="14"/>
  <c r="K289" i="14"/>
  <c r="AA286" i="14"/>
  <c r="U287" i="14"/>
  <c r="X287" i="14" s="1"/>
  <c r="S287" i="14"/>
  <c r="V287" i="14" s="1"/>
  <c r="T287" i="14"/>
  <c r="W287" i="14" s="1"/>
  <c r="Y287" i="14" l="1"/>
  <c r="Z287" i="14"/>
  <c r="AA287" i="14"/>
  <c r="Q289" i="14"/>
  <c r="R289" i="14" s="1"/>
  <c r="M289" i="14"/>
  <c r="N289" i="14" s="1"/>
  <c r="L289" i="14"/>
  <c r="K290" i="14"/>
  <c r="O194" i="14"/>
  <c r="P193" i="14"/>
  <c r="U288" i="14"/>
  <c r="X288" i="14" s="1"/>
  <c r="S288" i="14"/>
  <c r="V288" i="14" s="1"/>
  <c r="T288" i="14"/>
  <c r="W288" i="14" s="1"/>
  <c r="Y288" i="14" l="1"/>
  <c r="Z288" i="14"/>
  <c r="AA288" i="14"/>
  <c r="O195" i="14"/>
  <c r="P194" i="14"/>
  <c r="M290" i="14"/>
  <c r="N290" i="14" s="1"/>
  <c r="Q290" i="14"/>
  <c r="R290" i="14" s="1"/>
  <c r="L290" i="14"/>
  <c r="K291" i="14"/>
  <c r="S289" i="14"/>
  <c r="V289" i="14" s="1"/>
  <c r="U289" i="14"/>
  <c r="X289" i="14" s="1"/>
  <c r="T289" i="14"/>
  <c r="W289" i="14" s="1"/>
  <c r="Z289" i="14" l="1"/>
  <c r="AA289" i="14"/>
  <c r="Y289" i="14"/>
  <c r="M291" i="14"/>
  <c r="N291" i="14" s="1"/>
  <c r="Q291" i="14"/>
  <c r="R291" i="14" s="1"/>
  <c r="L291" i="14"/>
  <c r="K292" i="14"/>
  <c r="O196" i="14"/>
  <c r="P195" i="14"/>
  <c r="U290" i="14"/>
  <c r="X290" i="14" s="1"/>
  <c r="S290" i="14"/>
  <c r="V290" i="14" s="1"/>
  <c r="T290" i="14"/>
  <c r="W290" i="14" s="1"/>
  <c r="Y290" i="14" l="1"/>
  <c r="Z290" i="14"/>
  <c r="AA290" i="14"/>
  <c r="O197" i="14"/>
  <c r="P196" i="14"/>
  <c r="M292" i="14"/>
  <c r="N292" i="14" s="1"/>
  <c r="Q292" i="14"/>
  <c r="R292" i="14" s="1"/>
  <c r="L292" i="14"/>
  <c r="K293" i="14"/>
  <c r="U291" i="14"/>
  <c r="X291" i="14" s="1"/>
  <c r="S291" i="14"/>
  <c r="V291" i="14" s="1"/>
  <c r="T291" i="14"/>
  <c r="W291" i="14" s="1"/>
  <c r="Y291" i="14" l="1"/>
  <c r="Z291" i="14"/>
  <c r="AA291" i="14"/>
  <c r="O198" i="14"/>
  <c r="P197" i="14"/>
  <c r="M293" i="14"/>
  <c r="N293" i="14" s="1"/>
  <c r="Q293" i="14"/>
  <c r="R293" i="14" s="1"/>
  <c r="L293" i="14"/>
  <c r="K294" i="14"/>
  <c r="U292" i="14"/>
  <c r="X292" i="14" s="1"/>
  <c r="S292" i="14"/>
  <c r="V292" i="14" s="1"/>
  <c r="T292" i="14"/>
  <c r="W292" i="14" s="1"/>
  <c r="Y292" i="14" l="1"/>
  <c r="Z292" i="14"/>
  <c r="AA292" i="14"/>
  <c r="M294" i="14"/>
  <c r="N294" i="14" s="1"/>
  <c r="Q294" i="14"/>
  <c r="R294" i="14" s="1"/>
  <c r="L294" i="14"/>
  <c r="K295" i="14"/>
  <c r="U293" i="14"/>
  <c r="X293" i="14" s="1"/>
  <c r="S293" i="14"/>
  <c r="V293" i="14" s="1"/>
  <c r="T293" i="14"/>
  <c r="W293" i="14" s="1"/>
  <c r="O199" i="14"/>
  <c r="P198" i="14"/>
  <c r="Z293" i="14" l="1"/>
  <c r="Y293" i="14"/>
  <c r="O200" i="14"/>
  <c r="P199" i="14"/>
  <c r="M295" i="14"/>
  <c r="N295" i="14" s="1"/>
  <c r="Q295" i="14"/>
  <c r="R295" i="14" s="1"/>
  <c r="L295" i="14"/>
  <c r="K296" i="14"/>
  <c r="AA293" i="14"/>
  <c r="U294" i="14"/>
  <c r="X294" i="14" s="1"/>
  <c r="S294" i="14"/>
  <c r="V294" i="14" s="1"/>
  <c r="T294" i="14"/>
  <c r="W294" i="14" s="1"/>
  <c r="Z294" i="14" l="1"/>
  <c r="Y294" i="14"/>
  <c r="AA294" i="14"/>
  <c r="P200" i="14"/>
  <c r="O201" i="14"/>
  <c r="M296" i="14"/>
  <c r="N296" i="14" s="1"/>
  <c r="Q296" i="14"/>
  <c r="R296" i="14" s="1"/>
  <c r="L296" i="14"/>
  <c r="K297" i="14"/>
  <c r="U295" i="14"/>
  <c r="X295" i="14" s="1"/>
  <c r="S295" i="14"/>
  <c r="V295" i="14" s="1"/>
  <c r="T295" i="14"/>
  <c r="W295" i="14" s="1"/>
  <c r="Y295" i="14" l="1"/>
  <c r="Z295" i="14"/>
  <c r="AA295" i="14"/>
  <c r="Q297" i="14"/>
  <c r="R297" i="14" s="1"/>
  <c r="M297" i="14"/>
  <c r="N297" i="14" s="1"/>
  <c r="L297" i="14"/>
  <c r="K298" i="14"/>
  <c r="P201" i="14"/>
  <c r="O202" i="14"/>
  <c r="U296" i="14"/>
  <c r="X296" i="14" s="1"/>
  <c r="S296" i="14"/>
  <c r="V296" i="14" s="1"/>
  <c r="T296" i="14"/>
  <c r="W296" i="14" s="1"/>
  <c r="Y296" i="14" l="1"/>
  <c r="Z296" i="14"/>
  <c r="AA296" i="14"/>
  <c r="P202" i="14"/>
  <c r="O203" i="14"/>
  <c r="M298" i="14"/>
  <c r="N298" i="14" s="1"/>
  <c r="Q298" i="14"/>
  <c r="R298" i="14" s="1"/>
  <c r="L298" i="14"/>
  <c r="K299" i="14"/>
  <c r="U297" i="14"/>
  <c r="X297" i="14" s="1"/>
  <c r="S297" i="14"/>
  <c r="V297" i="14" s="1"/>
  <c r="T297" i="14"/>
  <c r="W297" i="14" s="1"/>
  <c r="Y297" i="14" l="1"/>
  <c r="Z297" i="14"/>
  <c r="AA297" i="14"/>
  <c r="M299" i="14"/>
  <c r="N299" i="14" s="1"/>
  <c r="Q299" i="14"/>
  <c r="R299" i="14" s="1"/>
  <c r="L299" i="14"/>
  <c r="K300" i="14"/>
  <c r="P203" i="14"/>
  <c r="O204" i="14"/>
  <c r="U298" i="14"/>
  <c r="X298" i="14" s="1"/>
  <c r="S298" i="14"/>
  <c r="V298" i="14" s="1"/>
  <c r="T298" i="14"/>
  <c r="W298" i="14" s="1"/>
  <c r="Z298" i="14" l="1"/>
  <c r="Y298" i="14"/>
  <c r="AA298" i="14"/>
  <c r="P204" i="14"/>
  <c r="O205" i="14"/>
  <c r="Q300" i="14"/>
  <c r="R300" i="14" s="1"/>
  <c r="M300" i="14"/>
  <c r="N300" i="14" s="1"/>
  <c r="L300" i="14"/>
  <c r="K301" i="14"/>
  <c r="U299" i="14"/>
  <c r="X299" i="14" s="1"/>
  <c r="S299" i="14"/>
  <c r="V299" i="14" s="1"/>
  <c r="T299" i="14"/>
  <c r="W299" i="14" s="1"/>
  <c r="Y299" i="14" l="1"/>
  <c r="Z299" i="14"/>
  <c r="AA299" i="14"/>
  <c r="Q301" i="14"/>
  <c r="R301" i="14" s="1"/>
  <c r="M301" i="14"/>
  <c r="N301" i="14" s="1"/>
  <c r="L301" i="14"/>
  <c r="K302" i="14"/>
  <c r="U300" i="14"/>
  <c r="X300" i="14" s="1"/>
  <c r="S300" i="14"/>
  <c r="V300" i="14" s="1"/>
  <c r="T300" i="14"/>
  <c r="W300" i="14" s="1"/>
  <c r="P205" i="14"/>
  <c r="O206" i="14"/>
  <c r="Z300" i="14" l="1"/>
  <c r="Y300" i="14"/>
  <c r="P206" i="14"/>
  <c r="O207" i="14"/>
  <c r="AA300" i="14"/>
  <c r="Q302" i="14"/>
  <c r="R302" i="14" s="1"/>
  <c r="M302" i="14"/>
  <c r="N302" i="14" s="1"/>
  <c r="L302" i="14"/>
  <c r="K303" i="14"/>
  <c r="U301" i="14"/>
  <c r="X301" i="14" s="1"/>
  <c r="S301" i="14"/>
  <c r="V301" i="14" s="1"/>
  <c r="T301" i="14"/>
  <c r="W301" i="14" s="1"/>
  <c r="Z301" i="14" l="1"/>
  <c r="Y301" i="14"/>
  <c r="P207" i="14"/>
  <c r="O208" i="14"/>
  <c r="M303" i="14"/>
  <c r="N303" i="14" s="1"/>
  <c r="Q303" i="14"/>
  <c r="R303" i="14" s="1"/>
  <c r="L303" i="14"/>
  <c r="K304" i="14"/>
  <c r="U302" i="14"/>
  <c r="X302" i="14" s="1"/>
  <c r="S302" i="14"/>
  <c r="V302" i="14" s="1"/>
  <c r="T302" i="14"/>
  <c r="W302" i="14" s="1"/>
  <c r="AA301" i="14"/>
  <c r="Z302" i="14" l="1"/>
  <c r="Y302" i="14"/>
  <c r="P208" i="14"/>
  <c r="O209" i="14"/>
  <c r="M304" i="14"/>
  <c r="N304" i="14" s="1"/>
  <c r="Q304" i="14"/>
  <c r="R304" i="14" s="1"/>
  <c r="L304" i="14"/>
  <c r="K305" i="14"/>
  <c r="AA302" i="14"/>
  <c r="U303" i="14"/>
  <c r="X303" i="14" s="1"/>
  <c r="S303" i="14"/>
  <c r="V303" i="14" s="1"/>
  <c r="T303" i="14"/>
  <c r="W303" i="14" s="1"/>
  <c r="Y303" i="14" l="1"/>
  <c r="Z303" i="14"/>
  <c r="AA303" i="14"/>
  <c r="Q305" i="14"/>
  <c r="R305" i="14" s="1"/>
  <c r="M305" i="14"/>
  <c r="N305" i="14" s="1"/>
  <c r="L305" i="14"/>
  <c r="K306" i="14"/>
  <c r="P209" i="14"/>
  <c r="O210" i="14"/>
  <c r="U304" i="14"/>
  <c r="X304" i="14" s="1"/>
  <c r="S304" i="14"/>
  <c r="V304" i="14" s="1"/>
  <c r="T304" i="14"/>
  <c r="W304" i="14" s="1"/>
  <c r="Y304" i="14" l="1"/>
  <c r="Z304" i="14"/>
  <c r="AA304" i="14"/>
  <c r="P210" i="14"/>
  <c r="O211" i="14"/>
  <c r="M306" i="14"/>
  <c r="N306" i="14" s="1"/>
  <c r="Q306" i="14"/>
  <c r="R306" i="14" s="1"/>
  <c r="L306" i="14"/>
  <c r="K307" i="14"/>
  <c r="U305" i="14"/>
  <c r="X305" i="14" s="1"/>
  <c r="S305" i="14"/>
  <c r="V305" i="14" s="1"/>
  <c r="T305" i="14"/>
  <c r="W305" i="14" s="1"/>
  <c r="Z305" i="14" l="1"/>
  <c r="Y305" i="14"/>
  <c r="AA305" i="14"/>
  <c r="M307" i="14"/>
  <c r="N307" i="14" s="1"/>
  <c r="Q307" i="14"/>
  <c r="R307" i="14" s="1"/>
  <c r="L307" i="14"/>
  <c r="K308" i="14"/>
  <c r="U306" i="14"/>
  <c r="X306" i="14" s="1"/>
  <c r="S306" i="14"/>
  <c r="V306" i="14" s="1"/>
  <c r="T306" i="14"/>
  <c r="W306" i="14" s="1"/>
  <c r="P211" i="14"/>
  <c r="O212" i="14"/>
  <c r="Z306" i="14" l="1"/>
  <c r="Y306" i="14"/>
  <c r="P212" i="14"/>
  <c r="O213" i="14"/>
  <c r="AA306" i="14"/>
  <c r="Q308" i="14"/>
  <c r="R308" i="14" s="1"/>
  <c r="M308" i="14"/>
  <c r="N308" i="14" s="1"/>
  <c r="L308" i="14"/>
  <c r="K309" i="14"/>
  <c r="U307" i="14"/>
  <c r="X307" i="14" s="1"/>
  <c r="S307" i="14"/>
  <c r="V307" i="14" s="1"/>
  <c r="T307" i="14"/>
  <c r="W307" i="14" s="1"/>
  <c r="Z307" i="14" l="1"/>
  <c r="Y307" i="14"/>
  <c r="Q309" i="14"/>
  <c r="R309" i="14" s="1"/>
  <c r="M309" i="14"/>
  <c r="N309" i="14" s="1"/>
  <c r="L309" i="14"/>
  <c r="K310" i="14"/>
  <c r="P213" i="14"/>
  <c r="O214" i="14"/>
  <c r="U308" i="14"/>
  <c r="X308" i="14" s="1"/>
  <c r="S308" i="14"/>
  <c r="V308" i="14" s="1"/>
  <c r="T308" i="14"/>
  <c r="W308" i="14" s="1"/>
  <c r="AA307" i="14"/>
  <c r="Z308" i="14" l="1"/>
  <c r="Y308" i="14"/>
  <c r="Q310" i="14"/>
  <c r="R310" i="14" s="1"/>
  <c r="M310" i="14"/>
  <c r="N310" i="14" s="1"/>
  <c r="L310" i="14"/>
  <c r="K311" i="14"/>
  <c r="U309" i="14"/>
  <c r="X309" i="14" s="1"/>
  <c r="S309" i="14"/>
  <c r="V309" i="14" s="1"/>
  <c r="T309" i="14"/>
  <c r="W309" i="14" s="1"/>
  <c r="AA308" i="14"/>
  <c r="P214" i="14"/>
  <c r="O215" i="14"/>
  <c r="Z309" i="14" l="1"/>
  <c r="M311" i="14"/>
  <c r="N311" i="14" s="1"/>
  <c r="Q311" i="14"/>
  <c r="R311" i="14" s="1"/>
  <c r="L311" i="14"/>
  <c r="K312" i="14"/>
  <c r="U310" i="14"/>
  <c r="X310" i="14" s="1"/>
  <c r="S310" i="14"/>
  <c r="V310" i="14" s="1"/>
  <c r="T310" i="14"/>
  <c r="W310" i="14" s="1"/>
  <c r="Y309" i="14"/>
  <c r="P215" i="14"/>
  <c r="O216" i="14"/>
  <c r="AA309" i="14"/>
  <c r="Z310" i="14" l="1"/>
  <c r="AA310" i="14"/>
  <c r="Y310" i="14"/>
  <c r="U311" i="14"/>
  <c r="X311" i="14" s="1"/>
  <c r="S311" i="14"/>
  <c r="V311" i="14" s="1"/>
  <c r="T311" i="14"/>
  <c r="W311" i="14" s="1"/>
  <c r="M312" i="14"/>
  <c r="N312" i="14" s="1"/>
  <c r="Q312" i="14"/>
  <c r="R312" i="14" s="1"/>
  <c r="L312" i="14"/>
  <c r="K313" i="14"/>
  <c r="P216" i="14"/>
  <c r="O217" i="14"/>
  <c r="Z311" i="14" l="1"/>
  <c r="Y311" i="14"/>
  <c r="AA311" i="14"/>
  <c r="P217" i="14"/>
  <c r="O218" i="14"/>
  <c r="U312" i="14"/>
  <c r="X312" i="14" s="1"/>
  <c r="S312" i="14"/>
  <c r="V312" i="14" s="1"/>
  <c r="T312" i="14"/>
  <c r="W312" i="14" s="1"/>
  <c r="Q313" i="14"/>
  <c r="R313" i="14" s="1"/>
  <c r="M313" i="14"/>
  <c r="N313" i="14" s="1"/>
  <c r="L313" i="14"/>
  <c r="K314" i="14"/>
  <c r="Y312" i="14" l="1"/>
  <c r="Z312" i="14"/>
  <c r="P218" i="14"/>
  <c r="O219" i="14"/>
  <c r="U313" i="14"/>
  <c r="X313" i="14" s="1"/>
  <c r="S313" i="14"/>
  <c r="V313" i="14" s="1"/>
  <c r="T313" i="14"/>
  <c r="W313" i="14" s="1"/>
  <c r="AA312" i="14"/>
  <c r="M314" i="14"/>
  <c r="N314" i="14" s="1"/>
  <c r="Q314" i="14"/>
  <c r="R314" i="14" s="1"/>
  <c r="L314" i="14"/>
  <c r="K315" i="14"/>
  <c r="Y313" i="14" l="1"/>
  <c r="AA313" i="14"/>
  <c r="P219" i="14"/>
  <c r="O220" i="14"/>
  <c r="M315" i="14"/>
  <c r="N315" i="14" s="1"/>
  <c r="Q315" i="14"/>
  <c r="R315" i="14" s="1"/>
  <c r="L315" i="14"/>
  <c r="K316" i="14"/>
  <c r="U314" i="14"/>
  <c r="X314" i="14" s="1"/>
  <c r="S314" i="14"/>
  <c r="V314" i="14" s="1"/>
  <c r="T314" i="14"/>
  <c r="W314" i="14" s="1"/>
  <c r="Z313" i="14"/>
  <c r="Y314" i="14" l="1"/>
  <c r="AA314" i="14"/>
  <c r="P220" i="14"/>
  <c r="O221" i="14"/>
  <c r="Q316" i="14"/>
  <c r="R316" i="14" s="1"/>
  <c r="M316" i="14"/>
  <c r="N316" i="14" s="1"/>
  <c r="L316" i="14"/>
  <c r="K317" i="14"/>
  <c r="Z314" i="14"/>
  <c r="U315" i="14"/>
  <c r="X315" i="14" s="1"/>
  <c r="S315" i="14"/>
  <c r="V315" i="14" s="1"/>
  <c r="T315" i="14"/>
  <c r="W315" i="14" s="1"/>
  <c r="Z315" i="14" l="1"/>
  <c r="Y315" i="14"/>
  <c r="AA315" i="14"/>
  <c r="P221" i="14"/>
  <c r="O222" i="14"/>
  <c r="Q317" i="14"/>
  <c r="R317" i="14" s="1"/>
  <c r="L317" i="14"/>
  <c r="M317" i="14"/>
  <c r="N317" i="14" s="1"/>
  <c r="K318" i="14"/>
  <c r="U316" i="14"/>
  <c r="X316" i="14" s="1"/>
  <c r="S316" i="14"/>
  <c r="V316" i="14" s="1"/>
  <c r="T316" i="14"/>
  <c r="W316" i="14" s="1"/>
  <c r="Z316" i="14" l="1"/>
  <c r="Y316" i="14"/>
  <c r="AA316" i="14"/>
  <c r="P222" i="14"/>
  <c r="O223" i="14"/>
  <c r="Q318" i="14"/>
  <c r="R318" i="14" s="1"/>
  <c r="M318" i="14"/>
  <c r="N318" i="14" s="1"/>
  <c r="L318" i="14"/>
  <c r="K319" i="14"/>
  <c r="U317" i="14"/>
  <c r="X317" i="14" s="1"/>
  <c r="S317" i="14"/>
  <c r="V317" i="14" s="1"/>
  <c r="T317" i="14"/>
  <c r="W317" i="14" s="1"/>
  <c r="Y317" i="14" l="1"/>
  <c r="Z317" i="14"/>
  <c r="AA317" i="14"/>
  <c r="P223" i="14"/>
  <c r="O224" i="14"/>
  <c r="M319" i="14"/>
  <c r="N319" i="14" s="1"/>
  <c r="Q319" i="14"/>
  <c r="R319" i="14" s="1"/>
  <c r="L319" i="14"/>
  <c r="K320" i="14"/>
  <c r="U318" i="14"/>
  <c r="X318" i="14" s="1"/>
  <c r="S318" i="14"/>
  <c r="V318" i="14" s="1"/>
  <c r="T318" i="14"/>
  <c r="W318" i="14" s="1"/>
  <c r="Z318" i="14" l="1"/>
  <c r="Y318" i="14"/>
  <c r="AA318" i="14"/>
  <c r="M320" i="14"/>
  <c r="N320" i="14" s="1"/>
  <c r="Q320" i="14"/>
  <c r="R320" i="14" s="1"/>
  <c r="L320" i="14"/>
  <c r="K321" i="14"/>
  <c r="S319" i="14"/>
  <c r="V319" i="14" s="1"/>
  <c r="U319" i="14"/>
  <c r="X319" i="14" s="1"/>
  <c r="T319" i="14"/>
  <c r="W319" i="14" s="1"/>
  <c r="P224" i="14"/>
  <c r="O225" i="14"/>
  <c r="Y319" i="14" l="1"/>
  <c r="Z319" i="14"/>
  <c r="AA319" i="14"/>
  <c r="P225" i="14"/>
  <c r="O226" i="14"/>
  <c r="Q321" i="14"/>
  <c r="R321" i="14" s="1"/>
  <c r="M321" i="14"/>
  <c r="N321" i="14" s="1"/>
  <c r="L321" i="14"/>
  <c r="K322" i="14"/>
  <c r="U320" i="14"/>
  <c r="X320" i="14" s="1"/>
  <c r="S320" i="14"/>
  <c r="V320" i="14" s="1"/>
  <c r="T320" i="14"/>
  <c r="W320" i="14" s="1"/>
  <c r="Z320" i="14" l="1"/>
  <c r="Y320" i="14"/>
  <c r="AA320" i="14"/>
  <c r="M322" i="14"/>
  <c r="N322" i="14" s="1"/>
  <c r="Q322" i="14"/>
  <c r="R322" i="14" s="1"/>
  <c r="L322" i="14"/>
  <c r="K323" i="14"/>
  <c r="P226" i="14"/>
  <c r="O227" i="14"/>
  <c r="U321" i="14"/>
  <c r="X321" i="14" s="1"/>
  <c r="S321" i="14"/>
  <c r="V321" i="14" s="1"/>
  <c r="T321" i="14"/>
  <c r="W321" i="14" s="1"/>
  <c r="Y321" i="14" l="1"/>
  <c r="Z321" i="14"/>
  <c r="AA321" i="14"/>
  <c r="P227" i="14"/>
  <c r="O228" i="14"/>
  <c r="M323" i="14"/>
  <c r="N323" i="14" s="1"/>
  <c r="Q323" i="14"/>
  <c r="R323" i="14" s="1"/>
  <c r="L323" i="14"/>
  <c r="K324" i="14"/>
  <c r="U322" i="14"/>
  <c r="X322" i="14" s="1"/>
  <c r="S322" i="14"/>
  <c r="V322" i="14" s="1"/>
  <c r="T322" i="14"/>
  <c r="W322" i="14" s="1"/>
  <c r="Z322" i="14" l="1"/>
  <c r="AA322" i="14"/>
  <c r="Y322" i="14"/>
  <c r="P228" i="14"/>
  <c r="O229" i="14"/>
  <c r="Q324" i="14"/>
  <c r="R324" i="14" s="1"/>
  <c r="M324" i="14"/>
  <c r="N324" i="14" s="1"/>
  <c r="L324" i="14"/>
  <c r="K325" i="14"/>
  <c r="U323" i="14"/>
  <c r="X323" i="14" s="1"/>
  <c r="S323" i="14"/>
  <c r="V323" i="14" s="1"/>
  <c r="T323" i="14"/>
  <c r="W323" i="14" s="1"/>
  <c r="Z323" i="14" l="1"/>
  <c r="Y323" i="14"/>
  <c r="AA323" i="14"/>
  <c r="U324" i="14"/>
  <c r="X324" i="14" s="1"/>
  <c r="S324" i="14"/>
  <c r="V324" i="14" s="1"/>
  <c r="T324" i="14"/>
  <c r="W324" i="14" s="1"/>
  <c r="Q325" i="14"/>
  <c r="R325" i="14" s="1"/>
  <c r="L325" i="14"/>
  <c r="M325" i="14"/>
  <c r="N325" i="14" s="1"/>
  <c r="K326" i="14"/>
  <c r="P229" i="14"/>
  <c r="O230" i="14"/>
  <c r="Y324" i="14" l="1"/>
  <c r="Z324" i="14"/>
  <c r="AA324" i="14"/>
  <c r="Q326" i="14"/>
  <c r="R326" i="14" s="1"/>
  <c r="M326" i="14"/>
  <c r="N326" i="14" s="1"/>
  <c r="L326" i="14"/>
  <c r="K327" i="14"/>
  <c r="P230" i="14"/>
  <c r="O231" i="14"/>
  <c r="U325" i="14"/>
  <c r="X325" i="14" s="1"/>
  <c r="S325" i="14"/>
  <c r="V325" i="14" s="1"/>
  <c r="T325" i="14"/>
  <c r="W325" i="14" s="1"/>
  <c r="Y325" i="14" l="1"/>
  <c r="Z325" i="14"/>
  <c r="AA325" i="14"/>
  <c r="M327" i="14"/>
  <c r="N327" i="14" s="1"/>
  <c r="Q327" i="14"/>
  <c r="R327" i="14" s="1"/>
  <c r="L327" i="14"/>
  <c r="K328" i="14"/>
  <c r="P231" i="14"/>
  <c r="O232" i="14"/>
  <c r="U326" i="14"/>
  <c r="X326" i="14" s="1"/>
  <c r="S326" i="14"/>
  <c r="V326" i="14" s="1"/>
  <c r="T326" i="14"/>
  <c r="W326" i="14" s="1"/>
  <c r="Z326" i="14" l="1"/>
  <c r="Y326" i="14"/>
  <c r="AA326" i="14"/>
  <c r="P232" i="14"/>
  <c r="O233" i="14"/>
  <c r="M328" i="14"/>
  <c r="N328" i="14" s="1"/>
  <c r="Q328" i="14"/>
  <c r="R328" i="14" s="1"/>
  <c r="L328" i="14"/>
  <c r="K329" i="14"/>
  <c r="S327" i="14"/>
  <c r="V327" i="14" s="1"/>
  <c r="U327" i="14"/>
  <c r="X327" i="14" s="1"/>
  <c r="T327" i="14"/>
  <c r="W327" i="14" s="1"/>
  <c r="Z327" i="14" l="1"/>
  <c r="AA327" i="14"/>
  <c r="Y327" i="14"/>
  <c r="P233" i="14"/>
  <c r="O234" i="14"/>
  <c r="U328" i="14"/>
  <c r="X328" i="14" s="1"/>
  <c r="S328" i="14"/>
  <c r="V328" i="14" s="1"/>
  <c r="T328" i="14"/>
  <c r="W328" i="14" s="1"/>
  <c r="Q329" i="14"/>
  <c r="R329" i="14" s="1"/>
  <c r="M329" i="14"/>
  <c r="N329" i="14" s="1"/>
  <c r="L329" i="14"/>
  <c r="K330" i="14"/>
  <c r="Z328" i="14" l="1"/>
  <c r="Y328" i="14"/>
  <c r="P234" i="14"/>
  <c r="O235" i="14"/>
  <c r="S329" i="14"/>
  <c r="V329" i="14" s="1"/>
  <c r="U329" i="14"/>
  <c r="X329" i="14" s="1"/>
  <c r="T329" i="14"/>
  <c r="W329" i="14" s="1"/>
  <c r="AA328" i="14"/>
  <c r="M330" i="14"/>
  <c r="N330" i="14" s="1"/>
  <c r="Q330" i="14"/>
  <c r="R330" i="14" s="1"/>
  <c r="L330" i="14"/>
  <c r="K331" i="14"/>
  <c r="AA329" i="14" l="1"/>
  <c r="Z329" i="14"/>
  <c r="Y329" i="14"/>
  <c r="P235" i="14"/>
  <c r="O236" i="14"/>
  <c r="M331" i="14"/>
  <c r="N331" i="14" s="1"/>
  <c r="Q331" i="14"/>
  <c r="R331" i="14" s="1"/>
  <c r="L331" i="14"/>
  <c r="K332" i="14"/>
  <c r="U330" i="14"/>
  <c r="X330" i="14" s="1"/>
  <c r="S330" i="14"/>
  <c r="V330" i="14" s="1"/>
  <c r="T330" i="14"/>
  <c r="W330" i="14" s="1"/>
  <c r="Y330" i="14" l="1"/>
  <c r="Z330" i="14"/>
  <c r="AA330" i="14"/>
  <c r="U331" i="14"/>
  <c r="X331" i="14" s="1"/>
  <c r="S331" i="14"/>
  <c r="V331" i="14" s="1"/>
  <c r="T331" i="14"/>
  <c r="W331" i="14" s="1"/>
  <c r="P236" i="14"/>
  <c r="O237" i="14"/>
  <c r="Q332" i="14"/>
  <c r="R332" i="14" s="1"/>
  <c r="M332" i="14"/>
  <c r="N332" i="14" s="1"/>
  <c r="L332" i="14"/>
  <c r="K333" i="14"/>
  <c r="AA331" i="14" l="1"/>
  <c r="Y331" i="14"/>
  <c r="Q333" i="14"/>
  <c r="R333" i="14" s="1"/>
  <c r="L333" i="14"/>
  <c r="M333" i="14"/>
  <c r="N333" i="14" s="1"/>
  <c r="K334" i="14"/>
  <c r="P237" i="14"/>
  <c r="O238" i="14"/>
  <c r="U332" i="14"/>
  <c r="X332" i="14" s="1"/>
  <c r="S332" i="14"/>
  <c r="V332" i="14" s="1"/>
  <c r="T332" i="14"/>
  <c r="W332" i="14" s="1"/>
  <c r="Z331" i="14"/>
  <c r="Y332" i="14" l="1"/>
  <c r="AA332" i="14"/>
  <c r="Q334" i="14"/>
  <c r="R334" i="14" s="1"/>
  <c r="L334" i="14"/>
  <c r="M334" i="14"/>
  <c r="N334" i="14" s="1"/>
  <c r="K335" i="14"/>
  <c r="U333" i="14"/>
  <c r="X333" i="14" s="1"/>
  <c r="S333" i="14"/>
  <c r="V333" i="14" s="1"/>
  <c r="T333" i="14"/>
  <c r="W333" i="14" s="1"/>
  <c r="P238" i="14"/>
  <c r="O239" i="14"/>
  <c r="Z332" i="14"/>
  <c r="Y333" i="14" l="1"/>
  <c r="P239" i="14"/>
  <c r="O240" i="14"/>
  <c r="Z333" i="14"/>
  <c r="AA333" i="14"/>
  <c r="Q335" i="14"/>
  <c r="R335" i="14" s="1"/>
  <c r="L335" i="14"/>
  <c r="M335" i="14"/>
  <c r="N335" i="14" s="1"/>
  <c r="K336" i="14"/>
  <c r="U334" i="14"/>
  <c r="X334" i="14" s="1"/>
  <c r="S334" i="14"/>
  <c r="V334" i="14" s="1"/>
  <c r="T334" i="14"/>
  <c r="W334" i="14" s="1"/>
  <c r="Z334" i="14" l="1"/>
  <c r="Y334" i="14"/>
  <c r="P240" i="14"/>
  <c r="O241" i="14"/>
  <c r="S335" i="14"/>
  <c r="V335" i="14" s="1"/>
  <c r="U335" i="14"/>
  <c r="X335" i="14" s="1"/>
  <c r="T335" i="14"/>
  <c r="W335" i="14" s="1"/>
  <c r="AA334" i="14"/>
  <c r="Q336" i="14"/>
  <c r="R336" i="14" s="1"/>
  <c r="M336" i="14"/>
  <c r="N336" i="14" s="1"/>
  <c r="L336" i="14"/>
  <c r="K337" i="14"/>
  <c r="AA335" i="14" l="1"/>
  <c r="Z335" i="14"/>
  <c r="Y335" i="14"/>
  <c r="Q337" i="14"/>
  <c r="R337" i="14" s="1"/>
  <c r="M337" i="14"/>
  <c r="N337" i="14" s="1"/>
  <c r="L337" i="14"/>
  <c r="K338" i="14"/>
  <c r="U336" i="14"/>
  <c r="X336" i="14" s="1"/>
  <c r="S336" i="14"/>
  <c r="V336" i="14" s="1"/>
  <c r="T336" i="14"/>
  <c r="W336" i="14" s="1"/>
  <c r="P241" i="14"/>
  <c r="O242" i="14"/>
  <c r="Z336" i="14" l="1"/>
  <c r="AA336" i="14"/>
  <c r="P242" i="14"/>
  <c r="O243" i="14"/>
  <c r="Q338" i="14"/>
  <c r="R338" i="14" s="1"/>
  <c r="M338" i="14"/>
  <c r="N338" i="14" s="1"/>
  <c r="L338" i="14"/>
  <c r="K339" i="14"/>
  <c r="Y336" i="14"/>
  <c r="S337" i="14"/>
  <c r="V337" i="14" s="1"/>
  <c r="U337" i="14"/>
  <c r="X337" i="14" s="1"/>
  <c r="T337" i="14"/>
  <c r="W337" i="14" s="1"/>
  <c r="AA337" i="14" l="1"/>
  <c r="Z337" i="14"/>
  <c r="Y337" i="14"/>
  <c r="P243" i="14"/>
  <c r="O244" i="14"/>
  <c r="Q339" i="14"/>
  <c r="R339" i="14" s="1"/>
  <c r="L339" i="14"/>
  <c r="M339" i="14"/>
  <c r="N339" i="14" s="1"/>
  <c r="K340" i="14"/>
  <c r="U338" i="14"/>
  <c r="X338" i="14" s="1"/>
  <c r="S338" i="14"/>
  <c r="V338" i="14" s="1"/>
  <c r="T338" i="14"/>
  <c r="W338" i="14" s="1"/>
  <c r="Y338" i="14" l="1"/>
  <c r="Z338" i="14"/>
  <c r="AA338" i="14"/>
  <c r="P244" i="14"/>
  <c r="O245" i="14"/>
  <c r="Q340" i="14"/>
  <c r="R340" i="14" s="1"/>
  <c r="M340" i="14"/>
  <c r="N340" i="14" s="1"/>
  <c r="L340" i="14"/>
  <c r="K341" i="14"/>
  <c r="U339" i="14"/>
  <c r="X339" i="14" s="1"/>
  <c r="S339" i="14"/>
  <c r="V339" i="14" s="1"/>
  <c r="T339" i="14"/>
  <c r="W339" i="14" s="1"/>
  <c r="Z339" i="14" l="1"/>
  <c r="Y339" i="14"/>
  <c r="AA339" i="14"/>
  <c r="Q341" i="14"/>
  <c r="R341" i="14" s="1"/>
  <c r="L341" i="14"/>
  <c r="M341" i="14"/>
  <c r="N341" i="14" s="1"/>
  <c r="K342" i="14"/>
  <c r="U340" i="14"/>
  <c r="X340" i="14" s="1"/>
  <c r="S340" i="14"/>
  <c r="V340" i="14" s="1"/>
  <c r="T340" i="14"/>
  <c r="W340" i="14" s="1"/>
  <c r="P245" i="14"/>
  <c r="O246" i="14"/>
  <c r="Z340" i="14" l="1"/>
  <c r="Y340" i="14"/>
  <c r="P246" i="14"/>
  <c r="O247" i="14"/>
  <c r="AA340" i="14"/>
  <c r="Q342" i="14"/>
  <c r="R342" i="14" s="1"/>
  <c r="L342" i="14"/>
  <c r="M342" i="14"/>
  <c r="N342" i="14" s="1"/>
  <c r="K343" i="14"/>
  <c r="U341" i="14"/>
  <c r="X341" i="14" s="1"/>
  <c r="S341" i="14"/>
  <c r="V341" i="14" s="1"/>
  <c r="T341" i="14"/>
  <c r="W341" i="14" s="1"/>
  <c r="Z341" i="14" l="1"/>
  <c r="Y341" i="14"/>
  <c r="AA341" i="14"/>
  <c r="P247" i="14"/>
  <c r="O248" i="14"/>
  <c r="Q343" i="14"/>
  <c r="R343" i="14" s="1"/>
  <c r="L343" i="14"/>
  <c r="M343" i="14"/>
  <c r="N343" i="14" s="1"/>
  <c r="K344" i="14"/>
  <c r="U342" i="14"/>
  <c r="X342" i="14" s="1"/>
  <c r="S342" i="14"/>
  <c r="V342" i="14" s="1"/>
  <c r="T342" i="14"/>
  <c r="W342" i="14" s="1"/>
  <c r="Y342" i="14" l="1"/>
  <c r="Z342" i="14"/>
  <c r="AA342" i="14"/>
  <c r="P248" i="14"/>
  <c r="O249" i="14"/>
  <c r="Q344" i="14"/>
  <c r="R344" i="14" s="1"/>
  <c r="M344" i="14"/>
  <c r="N344" i="14" s="1"/>
  <c r="L344" i="14"/>
  <c r="K345" i="14"/>
  <c r="S343" i="14"/>
  <c r="V343" i="14" s="1"/>
  <c r="U343" i="14"/>
  <c r="X343" i="14" s="1"/>
  <c r="T343" i="14"/>
  <c r="W343" i="14" s="1"/>
  <c r="AA343" i="14" l="1"/>
  <c r="Z343" i="14"/>
  <c r="Y343" i="14"/>
  <c r="P249" i="14"/>
  <c r="O250" i="14"/>
  <c r="U344" i="14"/>
  <c r="X344" i="14" s="1"/>
  <c r="S344" i="14"/>
  <c r="V344" i="14" s="1"/>
  <c r="T344" i="14"/>
  <c r="W344" i="14" s="1"/>
  <c r="Q345" i="14"/>
  <c r="R345" i="14" s="1"/>
  <c r="M345" i="14"/>
  <c r="N345" i="14" s="1"/>
  <c r="L345" i="14"/>
  <c r="K346" i="14"/>
  <c r="AA344" i="14" l="1"/>
  <c r="Z344" i="14"/>
  <c r="Q346" i="14"/>
  <c r="R346" i="14" s="1"/>
  <c r="M346" i="14"/>
  <c r="N346" i="14" s="1"/>
  <c r="L346" i="14"/>
  <c r="K347" i="14"/>
  <c r="Y344" i="14"/>
  <c r="P250" i="14"/>
  <c r="O251" i="14"/>
  <c r="U345" i="14"/>
  <c r="X345" i="14" s="1"/>
  <c r="S345" i="14"/>
  <c r="V345" i="14" s="1"/>
  <c r="T345" i="14"/>
  <c r="W345" i="14" s="1"/>
  <c r="Y345" i="14" l="1"/>
  <c r="Z345" i="14"/>
  <c r="AA345" i="14"/>
  <c r="P251" i="14"/>
  <c r="O252" i="14"/>
  <c r="Q347" i="14"/>
  <c r="R347" i="14" s="1"/>
  <c r="L347" i="14"/>
  <c r="M347" i="14"/>
  <c r="N347" i="14" s="1"/>
  <c r="K348" i="14"/>
  <c r="U346" i="14"/>
  <c r="X346" i="14" s="1"/>
  <c r="S346" i="14"/>
  <c r="V346" i="14" s="1"/>
  <c r="T346" i="14"/>
  <c r="W346" i="14" s="1"/>
  <c r="Y346" i="14" l="1"/>
  <c r="Z346" i="14"/>
  <c r="P252" i="14"/>
  <c r="O253" i="14"/>
  <c r="AA346" i="14"/>
  <c r="Q348" i="14"/>
  <c r="R348" i="14" s="1"/>
  <c r="M348" i="14"/>
  <c r="N348" i="14" s="1"/>
  <c r="L348" i="14"/>
  <c r="K349" i="14"/>
  <c r="U347" i="14"/>
  <c r="X347" i="14" s="1"/>
  <c r="S347" i="14"/>
  <c r="V347" i="14" s="1"/>
  <c r="T347" i="14"/>
  <c r="W347" i="14" s="1"/>
  <c r="Z347" i="14" l="1"/>
  <c r="Y347" i="14"/>
  <c r="Q349" i="14"/>
  <c r="R349" i="14" s="1"/>
  <c r="M349" i="14"/>
  <c r="N349" i="14" s="1"/>
  <c r="L349" i="14"/>
  <c r="K350" i="14"/>
  <c r="P253" i="14"/>
  <c r="O254" i="14"/>
  <c r="U348" i="14"/>
  <c r="X348" i="14" s="1"/>
  <c r="S348" i="14"/>
  <c r="V348" i="14" s="1"/>
  <c r="T348" i="14"/>
  <c r="W348" i="14" s="1"/>
  <c r="AA347" i="14"/>
  <c r="Z348" i="14" l="1"/>
  <c r="Y348" i="14"/>
  <c r="U349" i="14"/>
  <c r="X349" i="14" s="1"/>
  <c r="S349" i="14"/>
  <c r="V349" i="14" s="1"/>
  <c r="T349" i="14"/>
  <c r="W349" i="14" s="1"/>
  <c r="AA348" i="14"/>
  <c r="Q350" i="14"/>
  <c r="R350" i="14" s="1"/>
  <c r="L350" i="14"/>
  <c r="M350" i="14"/>
  <c r="N350" i="14" s="1"/>
  <c r="K351" i="14"/>
  <c r="P254" i="14"/>
  <c r="O255" i="14"/>
  <c r="Z349" i="14" l="1"/>
  <c r="Y349" i="14"/>
  <c r="AA349" i="14"/>
  <c r="Q351" i="14"/>
  <c r="R351" i="14" s="1"/>
  <c r="M351" i="14"/>
  <c r="N351" i="14" s="1"/>
  <c r="L351" i="14"/>
  <c r="K352" i="14"/>
  <c r="P255" i="14"/>
  <c r="O256" i="14"/>
  <c r="U350" i="14"/>
  <c r="X350" i="14" s="1"/>
  <c r="S350" i="14"/>
  <c r="V350" i="14" s="1"/>
  <c r="T350" i="14"/>
  <c r="W350" i="14" s="1"/>
  <c r="Z350" i="14" l="1"/>
  <c r="Y350" i="14"/>
  <c r="AA350" i="14"/>
  <c r="P256" i="14"/>
  <c r="O257" i="14"/>
  <c r="Q352" i="14"/>
  <c r="R352" i="14" s="1"/>
  <c r="M352" i="14"/>
  <c r="N352" i="14" s="1"/>
  <c r="L352" i="14"/>
  <c r="K353" i="14"/>
  <c r="U351" i="14"/>
  <c r="X351" i="14" s="1"/>
  <c r="S351" i="14"/>
  <c r="V351" i="14" s="1"/>
  <c r="T351" i="14"/>
  <c r="W351" i="14" s="1"/>
  <c r="Y351" i="14" l="1"/>
  <c r="Z351" i="14"/>
  <c r="AA351" i="14"/>
  <c r="P257" i="14"/>
  <c r="O258" i="14"/>
  <c r="Q353" i="14"/>
  <c r="R353" i="14" s="1"/>
  <c r="M353" i="14"/>
  <c r="N353" i="14" s="1"/>
  <c r="L353" i="14"/>
  <c r="K354" i="14"/>
  <c r="U352" i="14"/>
  <c r="X352" i="14" s="1"/>
  <c r="S352" i="14"/>
  <c r="V352" i="14" s="1"/>
  <c r="T352" i="14"/>
  <c r="W352" i="14" s="1"/>
  <c r="Y352" i="14" l="1"/>
  <c r="Z352" i="14"/>
  <c r="AA352" i="14"/>
  <c r="Q354" i="14"/>
  <c r="R354" i="14" s="1"/>
  <c r="M354" i="14"/>
  <c r="N354" i="14" s="1"/>
  <c r="L354" i="14"/>
  <c r="K355" i="14"/>
  <c r="U353" i="14"/>
  <c r="X353" i="14" s="1"/>
  <c r="S353" i="14"/>
  <c r="V353" i="14" s="1"/>
  <c r="T353" i="14"/>
  <c r="W353" i="14" s="1"/>
  <c r="P258" i="14"/>
  <c r="O259" i="14"/>
  <c r="Z353" i="14" l="1"/>
  <c r="Y353" i="14"/>
  <c r="P259" i="14"/>
  <c r="O260" i="14"/>
  <c r="Q355" i="14"/>
  <c r="R355" i="14" s="1"/>
  <c r="M355" i="14"/>
  <c r="N355" i="14" s="1"/>
  <c r="L355" i="14"/>
  <c r="K356" i="14"/>
  <c r="AA353" i="14"/>
  <c r="U354" i="14"/>
  <c r="X354" i="14" s="1"/>
  <c r="T354" i="14"/>
  <c r="W354" i="14" s="1"/>
  <c r="S354" i="14"/>
  <c r="V354" i="14" s="1"/>
  <c r="Y354" i="14" l="1"/>
  <c r="Z354" i="14"/>
  <c r="AA354" i="14"/>
  <c r="P260" i="14"/>
  <c r="O261" i="14"/>
  <c r="Q356" i="14"/>
  <c r="R356" i="14" s="1"/>
  <c r="M356" i="14"/>
  <c r="N356" i="14" s="1"/>
  <c r="L356" i="14"/>
  <c r="K357" i="14"/>
  <c r="U355" i="14"/>
  <c r="X355" i="14" s="1"/>
  <c r="S355" i="14"/>
  <c r="V355" i="14" s="1"/>
  <c r="T355" i="14"/>
  <c r="W355" i="14" s="1"/>
  <c r="Y355" i="14" l="1"/>
  <c r="Z355" i="14"/>
  <c r="AA355" i="14"/>
  <c r="P261" i="14"/>
  <c r="O262" i="14"/>
  <c r="Q357" i="14"/>
  <c r="R357" i="14" s="1"/>
  <c r="M357" i="14"/>
  <c r="N357" i="14" s="1"/>
  <c r="L357" i="14"/>
  <c r="K358" i="14"/>
  <c r="U356" i="14"/>
  <c r="X356" i="14" s="1"/>
  <c r="S356" i="14"/>
  <c r="V356" i="14" s="1"/>
  <c r="T356" i="14"/>
  <c r="W356" i="14" s="1"/>
  <c r="Z356" i="14" l="1"/>
  <c r="Y356" i="14"/>
  <c r="AA356" i="14"/>
  <c r="U357" i="14"/>
  <c r="X357" i="14" s="1"/>
  <c r="S357" i="14"/>
  <c r="V357" i="14" s="1"/>
  <c r="T357" i="14"/>
  <c r="W357" i="14" s="1"/>
  <c r="Q358" i="14"/>
  <c r="R358" i="14" s="1"/>
  <c r="L358" i="14"/>
  <c r="M358" i="14"/>
  <c r="N358" i="14" s="1"/>
  <c r="K359" i="14"/>
  <c r="P262" i="14"/>
  <c r="O263" i="14"/>
  <c r="Z357" i="14" l="1"/>
  <c r="Y357" i="14"/>
  <c r="AA357" i="14"/>
  <c r="Q359" i="14"/>
  <c r="R359" i="14" s="1"/>
  <c r="M359" i="14"/>
  <c r="N359" i="14" s="1"/>
  <c r="L359" i="14"/>
  <c r="K360" i="14"/>
  <c r="P263" i="14"/>
  <c r="O264" i="14"/>
  <c r="U358" i="14"/>
  <c r="X358" i="14" s="1"/>
  <c r="S358" i="14"/>
  <c r="V358" i="14" s="1"/>
  <c r="T358" i="14"/>
  <c r="W358" i="14" s="1"/>
  <c r="Z358" i="14" l="1"/>
  <c r="Y358" i="14"/>
  <c r="AA358" i="14"/>
  <c r="P264" i="14"/>
  <c r="O265" i="14"/>
  <c r="Q360" i="14"/>
  <c r="R360" i="14" s="1"/>
  <c r="M360" i="14"/>
  <c r="N360" i="14" s="1"/>
  <c r="L360" i="14"/>
  <c r="K361" i="14"/>
  <c r="U359" i="14"/>
  <c r="X359" i="14" s="1"/>
  <c r="S359" i="14"/>
  <c r="V359" i="14" s="1"/>
  <c r="T359" i="14"/>
  <c r="W359" i="14" s="1"/>
  <c r="Z359" i="14" l="1"/>
  <c r="Y359" i="14"/>
  <c r="Q361" i="14"/>
  <c r="R361" i="14" s="1"/>
  <c r="M361" i="14"/>
  <c r="N361" i="14" s="1"/>
  <c r="L361" i="14"/>
  <c r="K362" i="14"/>
  <c r="U360" i="14"/>
  <c r="X360" i="14" s="1"/>
  <c r="S360" i="14"/>
  <c r="V360" i="14" s="1"/>
  <c r="T360" i="14"/>
  <c r="W360" i="14" s="1"/>
  <c r="P265" i="14"/>
  <c r="O266" i="14"/>
  <c r="AA359" i="14"/>
  <c r="Z360" i="14" l="1"/>
  <c r="Q362" i="14"/>
  <c r="R362" i="14" s="1"/>
  <c r="M362" i="14"/>
  <c r="N362" i="14" s="1"/>
  <c r="L362" i="14"/>
  <c r="K363" i="14"/>
  <c r="U361" i="14"/>
  <c r="X361" i="14" s="1"/>
  <c r="S361" i="14"/>
  <c r="V361" i="14" s="1"/>
  <c r="T361" i="14"/>
  <c r="W361" i="14" s="1"/>
  <c r="AA360" i="14"/>
  <c r="P266" i="14"/>
  <c r="O267" i="14"/>
  <c r="Y360" i="14"/>
  <c r="Z361" i="14" l="1"/>
  <c r="Y361" i="14"/>
  <c r="AA361" i="14"/>
  <c r="U362" i="14"/>
  <c r="X362" i="14" s="1"/>
  <c r="T362" i="14"/>
  <c r="W362" i="14" s="1"/>
  <c r="S362" i="14"/>
  <c r="V362" i="14" s="1"/>
  <c r="Q363" i="14"/>
  <c r="R363" i="14" s="1"/>
  <c r="M363" i="14"/>
  <c r="N363" i="14" s="1"/>
  <c r="L363" i="14"/>
  <c r="K364" i="14"/>
  <c r="P267" i="14"/>
  <c r="O268" i="14"/>
  <c r="Z362" i="14" l="1"/>
  <c r="AA362" i="14"/>
  <c r="P268" i="14"/>
  <c r="O269" i="14"/>
  <c r="Q364" i="14"/>
  <c r="R364" i="14" s="1"/>
  <c r="M364" i="14"/>
  <c r="N364" i="14" s="1"/>
  <c r="L364" i="14"/>
  <c r="K365" i="14"/>
  <c r="Y362" i="14"/>
  <c r="U363" i="14"/>
  <c r="X363" i="14" s="1"/>
  <c r="S363" i="14"/>
  <c r="V363" i="14" s="1"/>
  <c r="T363" i="14"/>
  <c r="W363" i="14" s="1"/>
  <c r="Z363" i="14" l="1"/>
  <c r="Y363" i="14"/>
  <c r="AA363" i="14"/>
  <c r="P269" i="14"/>
  <c r="O270" i="14"/>
  <c r="Q365" i="14"/>
  <c r="R365" i="14" s="1"/>
  <c r="M365" i="14"/>
  <c r="N365" i="14" s="1"/>
  <c r="L365" i="14"/>
  <c r="K366" i="14"/>
  <c r="U364" i="14"/>
  <c r="X364" i="14" s="1"/>
  <c r="S364" i="14"/>
  <c r="V364" i="14" s="1"/>
  <c r="T364" i="14"/>
  <c r="W364" i="14" s="1"/>
  <c r="Y364" i="14" l="1"/>
  <c r="Z364" i="14"/>
  <c r="AA364" i="14"/>
  <c r="P270" i="14"/>
  <c r="O271" i="14"/>
  <c r="U365" i="14"/>
  <c r="X365" i="14" s="1"/>
  <c r="S365" i="14"/>
  <c r="V365" i="14" s="1"/>
  <c r="T365" i="14"/>
  <c r="W365" i="14" s="1"/>
  <c r="Q366" i="14"/>
  <c r="R366" i="14" s="1"/>
  <c r="L366" i="14"/>
  <c r="M366" i="14"/>
  <c r="N366" i="14" s="1"/>
  <c r="K367" i="14"/>
  <c r="Y365" i="14" l="1"/>
  <c r="Z365" i="14"/>
  <c r="Q367" i="14"/>
  <c r="R367" i="14" s="1"/>
  <c r="M367" i="14"/>
  <c r="N367" i="14" s="1"/>
  <c r="L367" i="14"/>
  <c r="K368" i="14"/>
  <c r="S366" i="14"/>
  <c r="V366" i="14" s="1"/>
  <c r="T366" i="14"/>
  <c r="W366" i="14" s="1"/>
  <c r="U366" i="14"/>
  <c r="X366" i="14" s="1"/>
  <c r="AA365" i="14"/>
  <c r="P271" i="14"/>
  <c r="O272" i="14"/>
  <c r="Y366" i="14" l="1"/>
  <c r="AA366" i="14"/>
  <c r="Q368" i="14"/>
  <c r="R368" i="14" s="1"/>
  <c r="M368" i="14"/>
  <c r="N368" i="14" s="1"/>
  <c r="L368" i="14"/>
  <c r="K369" i="14"/>
  <c r="U367" i="14"/>
  <c r="X367" i="14" s="1"/>
  <c r="S367" i="14"/>
  <c r="V367" i="14" s="1"/>
  <c r="T367" i="14"/>
  <c r="W367" i="14" s="1"/>
  <c r="P272" i="14"/>
  <c r="O273" i="14"/>
  <c r="Z366" i="14"/>
  <c r="Y367" i="14" l="1"/>
  <c r="U368" i="14"/>
  <c r="X368" i="14" s="1"/>
  <c r="S368" i="14"/>
  <c r="V368" i="14" s="1"/>
  <c r="T368" i="14"/>
  <c r="W368" i="14" s="1"/>
  <c r="Z367" i="14"/>
  <c r="Q369" i="14"/>
  <c r="R369" i="14" s="1"/>
  <c r="M369" i="14"/>
  <c r="N369" i="14" s="1"/>
  <c r="L369" i="14"/>
  <c r="K370" i="14"/>
  <c r="AA367" i="14"/>
  <c r="P273" i="14"/>
  <c r="O274" i="14"/>
  <c r="Y368" i="14" l="1"/>
  <c r="Q370" i="14"/>
  <c r="R370" i="14" s="1"/>
  <c r="M370" i="14"/>
  <c r="N370" i="14" s="1"/>
  <c r="L370" i="14"/>
  <c r="K371" i="14"/>
  <c r="P274" i="14"/>
  <c r="O275" i="14"/>
  <c r="U369" i="14"/>
  <c r="X369" i="14" s="1"/>
  <c r="S369" i="14"/>
  <c r="V369" i="14" s="1"/>
  <c r="T369" i="14"/>
  <c r="W369" i="14" s="1"/>
  <c r="Z368" i="14"/>
  <c r="AA368" i="14"/>
  <c r="Y369" i="14" l="1"/>
  <c r="P275" i="14"/>
  <c r="O276" i="14"/>
  <c r="Z369" i="14"/>
  <c r="AA369" i="14"/>
  <c r="Q371" i="14"/>
  <c r="R371" i="14" s="1"/>
  <c r="M371" i="14"/>
  <c r="N371" i="14" s="1"/>
  <c r="L371" i="14"/>
  <c r="K372" i="14"/>
  <c r="S370" i="14"/>
  <c r="V370" i="14" s="1"/>
  <c r="U370" i="14"/>
  <c r="X370" i="14" s="1"/>
  <c r="T370" i="14"/>
  <c r="W370" i="14" s="1"/>
  <c r="Z370" i="14" l="1"/>
  <c r="Y370" i="14"/>
  <c r="AA370" i="14"/>
  <c r="P276" i="14"/>
  <c r="O277" i="14"/>
  <c r="U371" i="14"/>
  <c r="X371" i="14" s="1"/>
  <c r="S371" i="14"/>
  <c r="V371" i="14" s="1"/>
  <c r="T371" i="14"/>
  <c r="W371" i="14" s="1"/>
  <c r="Q372" i="14"/>
  <c r="R372" i="14" s="1"/>
  <c r="M372" i="14"/>
  <c r="N372" i="14" s="1"/>
  <c r="L372" i="14"/>
  <c r="K373" i="14"/>
  <c r="Y371" i="14" l="1"/>
  <c r="Z371" i="14"/>
  <c r="P277" i="14"/>
  <c r="O278" i="14"/>
  <c r="S372" i="14"/>
  <c r="V372" i="14" s="1"/>
  <c r="U372" i="14"/>
  <c r="X372" i="14" s="1"/>
  <c r="T372" i="14"/>
  <c r="W372" i="14" s="1"/>
  <c r="Q373" i="14"/>
  <c r="R373" i="14" s="1"/>
  <c r="M373" i="14"/>
  <c r="N373" i="14" s="1"/>
  <c r="L373" i="14"/>
  <c r="K374" i="14"/>
  <c r="AA371" i="14"/>
  <c r="Y372" i="14" l="1"/>
  <c r="AA372" i="14"/>
  <c r="U373" i="14"/>
  <c r="X373" i="14" s="1"/>
  <c r="S373" i="14"/>
  <c r="V373" i="14" s="1"/>
  <c r="T373" i="14"/>
  <c r="W373" i="14" s="1"/>
  <c r="Z372" i="14"/>
  <c r="P278" i="14"/>
  <c r="O279" i="14"/>
  <c r="Q374" i="14"/>
  <c r="R374" i="14" s="1"/>
  <c r="M374" i="14"/>
  <c r="N374" i="14" s="1"/>
  <c r="L374" i="14"/>
  <c r="K375" i="14"/>
  <c r="Y373" i="14" l="1"/>
  <c r="AA373" i="14"/>
  <c r="Q375" i="14"/>
  <c r="R375" i="14" s="1"/>
  <c r="M375" i="14"/>
  <c r="N375" i="14" s="1"/>
  <c r="L375" i="14"/>
  <c r="K376" i="14"/>
  <c r="P279" i="14"/>
  <c r="O280" i="14"/>
  <c r="Z373" i="14"/>
  <c r="U374" i="14"/>
  <c r="X374" i="14" s="1"/>
  <c r="S374" i="14"/>
  <c r="V374" i="14" s="1"/>
  <c r="T374" i="14"/>
  <c r="W374" i="14" s="1"/>
  <c r="Z374" i="14" l="1"/>
  <c r="Y374" i="14"/>
  <c r="AA374" i="14"/>
  <c r="U375" i="14"/>
  <c r="X375" i="14" s="1"/>
  <c r="S375" i="14"/>
  <c r="V375" i="14" s="1"/>
  <c r="T375" i="14"/>
  <c r="W375" i="14" s="1"/>
  <c r="Q376" i="14"/>
  <c r="R376" i="14" s="1"/>
  <c r="M376" i="14"/>
  <c r="N376" i="14" s="1"/>
  <c r="L376" i="14"/>
  <c r="P280" i="14"/>
  <c r="O281" i="14"/>
  <c r="Y375" i="14" l="1"/>
  <c r="Z375" i="14"/>
  <c r="AA375" i="14"/>
  <c r="S376" i="14"/>
  <c r="V376" i="14" s="1"/>
  <c r="Y376" i="14" s="1"/>
  <c r="U376" i="14"/>
  <c r="X376" i="14" s="1"/>
  <c r="AA376" i="14" s="1"/>
  <c r="T376" i="14"/>
  <c r="W376" i="14" s="1"/>
  <c r="Z376" i="14" s="1"/>
  <c r="P281" i="14"/>
  <c r="O282" i="14"/>
  <c r="P282" i="14" l="1"/>
  <c r="O283" i="14"/>
  <c r="P283" i="14" l="1"/>
  <c r="O284" i="14"/>
  <c r="P284" i="14" l="1"/>
  <c r="O285" i="14"/>
  <c r="P285" i="14" l="1"/>
  <c r="O286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O306" i="14" l="1"/>
  <c r="P305" i="14"/>
  <c r="O307" i="14" l="1"/>
  <c r="P306" i="14"/>
  <c r="O308" i="14" l="1"/>
  <c r="P307" i="14"/>
  <c r="O309" i="14" l="1"/>
  <c r="P308" i="14"/>
  <c r="O310" i="14" l="1"/>
  <c r="P309" i="14"/>
  <c r="O311" i="14" l="1"/>
  <c r="P310" i="14"/>
  <c r="O312" i="14" l="1"/>
  <c r="P311" i="14"/>
  <c r="O313" i="14" l="1"/>
  <c r="P312" i="14"/>
  <c r="O314" i="14" l="1"/>
  <c r="P313" i="14"/>
  <c r="O315" i="14" l="1"/>
  <c r="P314" i="14"/>
  <c r="O316" i="14" l="1"/>
  <c r="P315" i="14"/>
  <c r="O317" i="14" l="1"/>
  <c r="P316" i="14"/>
  <c r="O318" i="14" l="1"/>
  <c r="P317" i="14"/>
  <c r="O319" i="14" l="1"/>
  <c r="P318" i="14"/>
  <c r="O320" i="14" l="1"/>
  <c r="P319" i="14"/>
  <c r="O321" i="14" l="1"/>
  <c r="P320" i="14"/>
  <c r="O322" i="14" l="1"/>
  <c r="P321" i="14"/>
  <c r="O323" i="14" l="1"/>
  <c r="P322" i="14"/>
  <c r="O324" i="14" l="1"/>
  <c r="P323" i="14"/>
  <c r="O325" i="14" l="1"/>
  <c r="P324" i="14"/>
  <c r="O326" i="14" l="1"/>
  <c r="P325" i="14"/>
  <c r="O327" i="14" l="1"/>
  <c r="P326" i="14"/>
  <c r="O328" i="14" l="1"/>
  <c r="P327" i="14"/>
  <c r="O329" i="14" l="1"/>
  <c r="P328" i="14"/>
  <c r="O330" i="14" l="1"/>
  <c r="P329" i="14"/>
  <c r="O331" i="14" l="1"/>
  <c r="P330" i="14"/>
  <c r="O332" i="14" l="1"/>
  <c r="P331" i="14"/>
  <c r="O333" i="14" l="1"/>
  <c r="P332" i="14"/>
  <c r="O334" i="14" l="1"/>
  <c r="P333" i="14"/>
  <c r="O335" i="14" l="1"/>
  <c r="P334" i="14"/>
  <c r="P335" i="14" l="1"/>
  <c r="O336" i="14"/>
  <c r="O337" i="14" l="1"/>
  <c r="P336" i="14"/>
  <c r="O338" i="14" l="1"/>
  <c r="P337" i="14"/>
  <c r="O339" i="14" l="1"/>
  <c r="P338" i="14"/>
  <c r="O340" i="14" l="1"/>
  <c r="P339" i="14"/>
  <c r="O341" i="14" l="1"/>
  <c r="P340" i="14"/>
  <c r="O342" i="14" l="1"/>
  <c r="P341" i="14"/>
  <c r="O343" i="14" l="1"/>
  <c r="P342" i="14"/>
  <c r="P343" i="14" l="1"/>
  <c r="O344" i="14"/>
  <c r="O345" i="14" l="1"/>
  <c r="P344" i="14"/>
  <c r="O346" i="14" l="1"/>
  <c r="P345" i="14"/>
  <c r="O347" i="14" l="1"/>
  <c r="P346" i="14"/>
  <c r="O348" i="14" l="1"/>
  <c r="P347" i="14"/>
  <c r="O349" i="14" l="1"/>
  <c r="P348" i="14"/>
  <c r="O350" i="14" l="1"/>
  <c r="P349" i="14"/>
  <c r="O351" i="14" l="1"/>
  <c r="P350" i="14"/>
  <c r="P351" i="14" l="1"/>
  <c r="O352" i="14"/>
  <c r="O353" i="14" l="1"/>
  <c r="P352" i="14"/>
  <c r="O354" i="14" l="1"/>
  <c r="P353" i="14"/>
  <c r="O355" i="14" l="1"/>
  <c r="P354" i="14"/>
  <c r="O356" i="14" l="1"/>
  <c r="P355" i="14"/>
  <c r="O357" i="14" l="1"/>
  <c r="P356" i="14"/>
  <c r="O358" i="14" l="1"/>
  <c r="P357" i="14"/>
  <c r="O359" i="14" l="1"/>
  <c r="P358" i="14"/>
  <c r="O360" i="14" l="1"/>
  <c r="P359" i="14"/>
  <c r="O361" i="14" l="1"/>
  <c r="P360" i="14"/>
  <c r="O362" i="14" l="1"/>
  <c r="P361" i="14"/>
  <c r="O363" i="14" l="1"/>
  <c r="P362" i="14"/>
  <c r="O364" i="14" l="1"/>
  <c r="P363" i="14"/>
  <c r="O365" i="14" l="1"/>
  <c r="P364" i="14"/>
  <c r="O366" i="14" l="1"/>
  <c r="P365" i="14"/>
  <c r="O367" i="14" l="1"/>
  <c r="P366" i="14"/>
  <c r="O368" i="14" l="1"/>
  <c r="P367" i="14"/>
  <c r="O369" i="14" l="1"/>
  <c r="P368" i="14"/>
  <c r="O370" i="14" l="1"/>
  <c r="P369" i="14"/>
  <c r="O371" i="14" l="1"/>
  <c r="P370" i="14"/>
  <c r="O372" i="14" l="1"/>
  <c r="P371" i="14"/>
  <c r="O373" i="14" l="1"/>
  <c r="P372" i="14"/>
  <c r="O374" i="14" l="1"/>
  <c r="P373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<sst xmlns="http://schemas.openxmlformats.org/spreadsheetml/2006/main" count="1186" uniqueCount="699">
  <si>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</si>
  <si>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</si>
  <si>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</si>
  <si>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</si>
  <si>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</si>
  <si>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</si>
  <si>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</si>
  <si>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</si>
  <si>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</si>
  <si>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</si>
  <si>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</si>
  <si>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</si>
  <si>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</si>
  <si>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</si>
  <si>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</si>
  <si>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</si>
  <si>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</si>
  <si>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</si>
  <si>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</si>
  <si>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</si>
  <si>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</si>
  <si>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</si>
  <si>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</si>
  <si>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</si>
  <si>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</si>
  <si>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</si>
  <si>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</si>
  <si>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</si>
  <si>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</si>
  <si>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</si>
  <si>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</si>
  <si>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</si>
  <si>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</si>
  <si>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</si>
  <si>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</si>
  <si>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</si>
  <si>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</si>
  <si>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</si>
  <si>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</si>
  <si>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</si>
  <si>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</si>
  <si>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</si>
  <si>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</si>
  <si>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</si>
  <si>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</si>
  <si>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</si>
  <si>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</si>
  <si>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</si>
  <si>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</si>
  <si>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</si>
  <si>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</si>
  <si>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</si>
  <si>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</si>
  <si>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</si>
  <si>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</si>
  <si>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</si>
  <si>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</si>
  <si>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</si>
  <si>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</si>
  <si>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</si>
  <si>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</si>
  <si>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</si>
  <si>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</si>
  <si>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</si>
  <si>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</si>
  <si>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</si>
  <si>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</si>
  <si>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</si>
  <si>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</si>
  <si>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</si>
  <si>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</si>
  <si>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</si>
  <si>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</si>
  <si>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</si>
  <si>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</si>
  <si>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</si>
  <si>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</si>
  <si>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</si>
  <si>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</si>
  <si>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</si>
  <si>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</si>
  <si>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</si>
  <si>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</si>
  <si>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</si>
  <si>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</si>
  <si>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</si>
  <si>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</si>
  <si>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</si>
  <si>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</si>
  <si>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</si>
  <si>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</si>
  <si>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</si>
  <si>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</si>
  <si>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</si>
  <si>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</si>
  <si>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</si>
  <si>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</si>
  <si>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</si>
  <si>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</si>
  <si>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</si>
  <si>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</si>
  <si>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</si>
  <si>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</si>
  <si>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</si>
  <si>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</si>
  <si>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</si>
  <si>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</si>
  <si>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</si>
  <si>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</si>
  <si>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</si>
  <si>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</si>
  <si>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</si>
  <si>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</si>
  <si>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</si>
  <si>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</si>
  <si>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</si>
  <si>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</si>
  <si>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</si>
  <si>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</si>
  <si>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</si>
  <si>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</si>
  <si>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</si>
  <si>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</si>
  <si>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</si>
  <si>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</si>
  <si>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</si>
  <si>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</si>
  <si>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</si>
  <si>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</si>
  <si>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</si>
  <si>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</si>
  <si>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</si>
  <si>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</si>
  <si>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</si>
  <si>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</si>
  <si>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</si>
  <si>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</si>
  <si>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</si>
  <si>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</si>
  <si>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</si>
  <si>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</si>
  <si>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</si>
  <si>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</si>
  <si>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</si>
  <si>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</si>
  <si>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</si>
  <si>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</si>
  <si>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</si>
  <si>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</si>
  <si>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</si>
  <si>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</si>
  <si>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</si>
  <si>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</si>
  <si>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</si>
  <si>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</si>
  <si>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</si>
  <si>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</si>
  <si>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</si>
  <si>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</si>
  <si>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</si>
  <si>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</si>
  <si>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</si>
  <si>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</si>
  <si>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</si>
  <si>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</si>
  <si>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</si>
  <si>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</si>
  <si>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</si>
  <si>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</si>
  <si>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</si>
  <si>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</si>
  <si>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</si>
  <si>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</si>
  <si>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</si>
  <si>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</si>
  <si>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</si>
  <si>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</si>
  <si>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</si>
  <si>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</si>
  <si>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</si>
  <si>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</si>
  <si>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</si>
  <si>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</si>
  <si>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</si>
  <si>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</si>
  <si>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</si>
  <si>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</si>
  <si>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</si>
  <si>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</si>
  <si>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</si>
  <si>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</si>
  <si>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</si>
  <si>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</si>
  <si>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</si>
  <si>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</si>
  <si>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</si>
  <si>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</si>
  <si>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</si>
  <si>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</si>
  <si>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</si>
  <si>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</si>
  <si>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</si>
  <si>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</si>
  <si>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</si>
  <si>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</si>
  <si>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</si>
  <si>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</si>
  <si>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</si>
  <si>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</si>
  <si>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</si>
  <si>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</si>
  <si>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</si>
  <si>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</si>
  <si>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</si>
  <si>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</si>
  <si>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</si>
  <si>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</si>
  <si>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</si>
  <si>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</si>
  <si>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</si>
  <si>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</si>
  <si>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</si>
  <si>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</si>
  <si>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</si>
  <si>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</si>
  <si>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</si>
  <si>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</si>
  <si>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</si>
  <si>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</si>
  <si>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</si>
  <si>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</si>
  <si>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</si>
  <si>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</si>
  <si>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</si>
  <si>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</si>
  <si>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</si>
  <si>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</si>
  <si>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</si>
  <si>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</si>
  <si>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</si>
  <si>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</si>
  <si>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</si>
  <si>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</si>
  <si>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</si>
  <si>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</si>
  <si>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</si>
  <si>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</si>
  <si>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</si>
  <si>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</si>
  <si>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</si>
  <si>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</si>
  <si>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</si>
  <si>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</si>
  <si>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</si>
  <si>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</si>
  <si>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</si>
  <si>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</si>
  <si>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</si>
  <si>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</si>
  <si>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</si>
  <si>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</si>
  <si>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</si>
  <si>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</si>
  <si>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</si>
  <si>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</si>
  <si>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</si>
  <si>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</si>
  <si>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</si>
  <si>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</si>
  <si>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</si>
  <si>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</si>
  <si>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</si>
  <si>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</si>
  <si>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</si>
  <si>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</si>
  <si>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</si>
  <si>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</si>
  <si>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</si>
  <si>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</si>
  <si>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</si>
  <si>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</si>
  <si>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</si>
  <si>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</si>
  <si>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</si>
  <si>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</si>
  <si>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</si>
  <si>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</si>
  <si>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</si>
  <si>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</si>
  <si>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</si>
  <si>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</si>
  <si>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</si>
  <si>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</si>
  <si>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</si>
  <si>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</si>
  <si>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</si>
  <si>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</si>
  <si>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</si>
  <si>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</si>
  <si>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</si>
  <si>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</si>
  <si>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</si>
  <si>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</si>
  <si>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</si>
  <si>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</si>
  <si>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</si>
  <si>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</si>
  <si>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</si>
  <si>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</si>
  <si>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</si>
  <si>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</si>
  <si>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</si>
  <si>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</si>
  <si>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</si>
  <si>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</si>
  <si>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</si>
  <si>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</si>
  <si>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</si>
  <si>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</si>
  <si>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</si>
  <si>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</si>
  <si>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</si>
  <si>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</si>
  <si>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</si>
  <si>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</si>
  <si>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</si>
  <si>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</si>
  <si>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</si>
  <si>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</si>
  <si>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</si>
  <si>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</si>
  <si>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</si>
  <si>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</si>
  <si>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</si>
  <si>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</si>
  <si>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</si>
  <si>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</si>
  <si>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</si>
  <si>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</si>
  <si>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</si>
  <si>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</si>
  <si>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</si>
  <si>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</si>
  <si>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</si>
  <si>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</si>
  <si>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</si>
  <si>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</si>
  <si>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</si>
  <si>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</si>
  <si>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</si>
  <si>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</si>
  <si>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</si>
  <si>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</si>
  <si>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</si>
  <si>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</si>
  <si>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</si>
  <si>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</si>
  <si>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</si>
  <si>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</si>
  <si>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</si>
  <si>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</si>
  <si>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</si>
  <si>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</si>
  <si>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</si>
  <si>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</si>
  <si>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</si>
  <si>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</si>
  <si>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</si>
  <si>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</si>
  <si>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</si>
  <si>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</si>
  <si>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</si>
  <si>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</si>
  <si>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</si>
  <si>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</si>
  <si>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</si>
  <si>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</si>
  <si>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</si>
  <si>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</si>
  <si>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</si>
  <si>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</si>
  <si>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</si>
  <si>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</si>
  <si>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</si>
  <si>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</si>
  <si>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</si>
  <si>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</si>
  <si>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</si>
  <si>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</si>
  <si>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</si>
  <si>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</si>
  <si>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</si>
  <si>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</si>
  <si>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</si>
  <si>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</si>
  <si>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</si>
  <si>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</si>
  <si>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</si>
  <si>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</si>
  <si>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</si>
  <si>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</si>
  <si>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</si>
  <si>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</si>
  <si>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</si>
  <si>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</si>
  <si>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</si>
  <si>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</si>
  <si>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</si>
  <si>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</si>
  <si>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</si>
  <si>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</si>
  <si>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</si>
  <si>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</si>
  <si>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</si>
  <si>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</si>
  <si>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</si>
  <si>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</si>
  <si>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</si>
  <si>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</si>
  <si>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</si>
  <si>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</si>
  <si>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</si>
  <si>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</si>
  <si>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</si>
  <si>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</si>
  <si>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</si>
  <si>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</si>
  <si>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</si>
  <si>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</si>
  <si>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</si>
  <si>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</si>
  <si>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</si>
  <si>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</si>
  <si>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</si>
  <si>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</si>
  <si>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</si>
  <si>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</si>
  <si>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</si>
  <si>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</si>
  <si>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</si>
  <si>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</si>
  <si>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</si>
  <si>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</si>
  <si>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</si>
  <si>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</si>
  <si>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</si>
  <si>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</si>
  <si>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</si>
  <si>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</si>
  <si>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</si>
  <si>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</si>
  <si>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</si>
  <si>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</si>
  <si>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</si>
  <si>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</si>
  <si>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</si>
  <si>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</si>
  <si>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</si>
  <si>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</si>
  <si>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</si>
  <si>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</si>
  <si>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</si>
  <si>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</si>
  <si>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</si>
  <si>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</si>
  <si>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</si>
  <si>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</si>
  <si>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</si>
  <si>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</si>
  <si>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</si>
  <si>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</si>
  <si>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</si>
  <si>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</si>
  <si>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</si>
  <si>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</si>
  <si>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</si>
  <si>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</si>
  <si>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</si>
  <si>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</si>
  <si>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</si>
  <si>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</si>
  <si>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</si>
  <si>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</si>
  <si>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</si>
  <si>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</si>
  <si>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</si>
  <si>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</si>
  <si>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</si>
  <si>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</si>
  <si>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</si>
  <si>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</si>
  <si>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</si>
  <si>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</si>
  <si>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</si>
  <si>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</si>
  <si>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</si>
  <si>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</si>
  <si>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</si>
  <si>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</si>
  <si>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</si>
  <si>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</si>
  <si>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</si>
  <si>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</si>
  <si>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</si>
  <si>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</si>
  <si>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</si>
  <si>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</si>
  <si>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</si>
  <si>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</si>
  <si>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</si>
  <si>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</si>
  <si>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</si>
  <si>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</si>
  <si>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</si>
  <si>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</si>
  <si>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</si>
  <si>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</si>
  <si>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</si>
  <si>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</si>
  <si>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</si>
  <si>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</si>
  <si>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</si>
  <si>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</si>
  <si>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</si>
  <si>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</si>
  <si>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</si>
  <si>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</si>
  <si>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</si>
  <si>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</si>
  <si>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</si>
  <si>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</si>
  <si>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</si>
  <si>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</si>
  <si>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</si>
  <si>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</si>
  <si>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</si>
  <si>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</si>
  <si>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</si>
  <si>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</si>
  <si>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</si>
  <si>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</si>
  <si>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</si>
  <si>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</si>
  <si>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</si>
  <si>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</si>
  <si>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</si>
  <si>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</si>
  <si>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</si>
  <si>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</si>
  <si>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</si>
  <si>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</si>
  <si>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</si>
  <si>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</si>
  <si>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</si>
  <si>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</si>
  <si>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</si>
  <si>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</si>
  <si>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</si>
  <si>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</si>
  <si>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</si>
  <si>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</si>
  <si>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</si>
  <si>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</si>
  <si>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</si>
  <si>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</si>
  <si>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</si>
  <si>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</si>
  <si>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</si>
  <si>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</si>
  <si>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</si>
  <si>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</si>
  <si>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</si>
  <si>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</si>
  <si>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</si>
  <si>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</si>
  <si>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</si>
  <si>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</si>
  <si>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</si>
  <si>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</si>
  <si>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</si>
  <si>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</si>
  <si>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</si>
  <si>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</si>
  <si>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</si>
  <si>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</si>
  <si>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</si>
  <si>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</si>
  <si>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</si>
  <si>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</si>
  <si>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</si>
  <si>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</si>
  <si>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</si>
  <si>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</si>
  <si>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</si>
  <si>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</si>
  <si>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</si>
  <si>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</si>
  <si>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</si>
  <si>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</si>
  <si>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</si>
  <si>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</si>
  <si>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</si>
  <si>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</si>
  <si>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</si>
  <si>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</si>
  <si>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</si>
  <si>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</si>
  <si>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</si>
  <si>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</si>
  <si>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</si>
  <si>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</si>
  <si>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</si>
  <si>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</si>
  <si>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</si>
  <si>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</si>
  <si>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</si>
  <si>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</si>
  <si>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</si>
  <si>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</si>
  <si>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</si>
  <si>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</si>
  <si>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</si>
  <si>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</si>
  <si>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</si>
  <si>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</si>
  <si>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</si>
  <si>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</si>
  <si>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</si>
  <si>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</si>
  <si>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</si>
  <si>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</si>
  <si>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</si>
  <si>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</si>
  <si>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</si>
  <si>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</si>
  <si>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</si>
  <si>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</si>
  <si>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</si>
  <si>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</si>
  <si>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</si>
  <si>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</si>
  <si>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</si>
  <si>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</si>
  <si>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</si>
  <si>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</si>
  <si>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</si>
  <si>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</si>
  <si>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</si>
  <si>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</si>
  <si>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</si>
  <si>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</si>
  <si>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</si>
  <si>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</si>
  <si>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</si>
  <si>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</si>
  <si>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</si>
  <si>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</si>
  <si>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</si>
  <si>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</si>
  <si>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</si>
  <si>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</si>
  <si>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</si>
  <si>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</si>
  <si>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</si>
  <si>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</si>
  <si>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</si>
  <si>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</si>
  <si>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</si>
  <si>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</si>
  <si>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</si>
  <si>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</si>
  <si>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</si>
  <si>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</si>
  <si>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</si>
  <si>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</si>
  <si>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</si>
  <si>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</si>
  <si>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</si>
  <si>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</si>
  <si>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</si>
  <si>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</si>
  <si>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</si>
  <si>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</si>
  <si>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</si>
  <si>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</si>
  <si>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</si>
  <si>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</si>
  <si>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</si>
  <si>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</si>
  <si>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</si>
  <si>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</si>
  <si>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</si>
  <si>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</si>
  <si>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</si>
  <si>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</si>
  <si>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2e</t>
  </si>
  <si>
    <t>2D</t>
  </si>
  <si>
    <t>1E</t>
  </si>
  <si>
    <t>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</si>
</sst>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3.4309999999999996</c:v>
                </c:pt>
                <c:pt idx="1">
                  <c:v>3.4309999999999996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2.9929999999999999</c:v>
                </c:pt>
                <c:pt idx="1">
                  <c:v>2.9929999999999999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2.14</c:v>
                </c:pt>
                <c:pt idx="119">
                  <c:v>2.3559999999999999</c:v>
                </c:pt>
                <c:pt idx="120">
                  <c:v>2.3775999999999997</c:v>
                </c:pt>
                <c:pt idx="121">
                  <c:v>2.3797599999999997</c:v>
                </c:pt>
                <c:pt idx="122">
                  <c:v>2.3799759999999996</c:v>
                </c:pt>
                <c:pt idx="123">
                  <c:v>2.3799975999999998</c:v>
                </c:pt>
                <c:pt idx="124">
                  <c:v>2.37999976</c:v>
                </c:pt>
                <c:pt idx="125">
                  <c:v>2.3799999760000001</c:v>
                </c:pt>
                <c:pt idx="126">
                  <c:v>2.3799999976000001</c:v>
                </c:pt>
                <c:pt idx="127">
                  <c:v>2.3799999997599999</c:v>
                </c:pt>
                <c:pt idx="128">
                  <c:v>2.379999999976</c:v>
                </c:pt>
                <c:pt idx="129">
                  <c:v>2.3799999999976</c:v>
                </c:pt>
                <c:pt idx="130">
                  <c:v>2.3799999999997601</c:v>
                </c:pt>
                <c:pt idx="131">
                  <c:v>2.3799999999999759</c:v>
                </c:pt>
                <c:pt idx="132">
                  <c:v>2.3799999999999977</c:v>
                </c:pt>
                <c:pt idx="133">
                  <c:v>2.3799999999999994</c:v>
                </c:pt>
                <c:pt idx="134">
                  <c:v>2.38</c:v>
                </c:pt>
                <c:pt idx="135">
                  <c:v>2.38</c:v>
                </c:pt>
                <c:pt idx="136">
                  <c:v>2.38</c:v>
                </c:pt>
                <c:pt idx="137">
                  <c:v>2.38</c:v>
                </c:pt>
                <c:pt idx="138">
                  <c:v>2.38</c:v>
                </c:pt>
                <c:pt idx="139">
                  <c:v>2.38</c:v>
                </c:pt>
                <c:pt idx="140">
                  <c:v>2.38</c:v>
                </c:pt>
                <c:pt idx="141">
                  <c:v>2.38</c:v>
                </c:pt>
                <c:pt idx="142">
                  <c:v>2.38</c:v>
                </c:pt>
                <c:pt idx="143">
                  <c:v>2.38</c:v>
                </c:pt>
                <c:pt idx="144">
                  <c:v>2.38</c:v>
                </c:pt>
                <c:pt idx="145">
                  <c:v>2.38</c:v>
                </c:pt>
                <c:pt idx="146">
                  <c:v>2.38</c:v>
                </c:pt>
                <c:pt idx="147">
                  <c:v>2.38</c:v>
                </c:pt>
                <c:pt idx="148">
                  <c:v>2.38</c:v>
                </c:pt>
                <c:pt idx="149">
                  <c:v>2.38</c:v>
                </c:pt>
                <c:pt idx="150">
                  <c:v>2.38</c:v>
                </c:pt>
                <c:pt idx="151">
                  <c:v>2.38</c:v>
                </c:pt>
                <c:pt idx="152">
                  <c:v>2.38</c:v>
                </c:pt>
                <c:pt idx="153">
                  <c:v>2.38</c:v>
                </c:pt>
                <c:pt idx="154">
                  <c:v>2.38</c:v>
                </c:pt>
                <c:pt idx="155">
                  <c:v>2.38</c:v>
                </c:pt>
                <c:pt idx="156">
                  <c:v>2.38</c:v>
                </c:pt>
                <c:pt idx="157">
                  <c:v>2.38</c:v>
                </c:pt>
                <c:pt idx="158">
                  <c:v>2.38</c:v>
                </c:pt>
                <c:pt idx="159">
                  <c:v>2.38</c:v>
                </c:pt>
                <c:pt idx="160">
                  <c:v>2.38</c:v>
                </c:pt>
                <c:pt idx="161">
                  <c:v>2.38</c:v>
                </c:pt>
                <c:pt idx="162">
                  <c:v>2.38</c:v>
                </c:pt>
                <c:pt idx="163">
                  <c:v>2.38</c:v>
                </c:pt>
                <c:pt idx="164">
                  <c:v>2.38</c:v>
                </c:pt>
                <c:pt idx="165">
                  <c:v>2.38</c:v>
                </c:pt>
                <c:pt idx="166">
                  <c:v>2.38</c:v>
                </c:pt>
                <c:pt idx="167">
                  <c:v>2.38</c:v>
                </c:pt>
                <c:pt idx="168">
                  <c:v>2.38</c:v>
                </c:pt>
                <c:pt idx="169">
                  <c:v>2.38</c:v>
                </c:pt>
                <c:pt idx="170">
                  <c:v>2.38</c:v>
                </c:pt>
                <c:pt idx="171">
                  <c:v>2.38</c:v>
                </c:pt>
                <c:pt idx="172">
                  <c:v>2.38</c:v>
                </c:pt>
                <c:pt idx="173">
                  <c:v>2.38</c:v>
                </c:pt>
                <c:pt idx="174">
                  <c:v>2.38</c:v>
                </c:pt>
                <c:pt idx="175">
                  <c:v>2.38</c:v>
                </c:pt>
                <c:pt idx="176">
                  <c:v>2.38</c:v>
                </c:pt>
                <c:pt idx="177">
                  <c:v>2.38</c:v>
                </c:pt>
                <c:pt idx="178">
                  <c:v>2.38</c:v>
                </c:pt>
                <c:pt idx="179">
                  <c:v>2.38</c:v>
                </c:pt>
                <c:pt idx="180">
                  <c:v>2.38</c:v>
                </c:pt>
                <c:pt idx="181">
                  <c:v>2.38</c:v>
                </c:pt>
                <c:pt idx="182">
                  <c:v>2.38</c:v>
                </c:pt>
                <c:pt idx="183">
                  <c:v>2.38</c:v>
                </c:pt>
                <c:pt idx="184">
                  <c:v>2.38</c:v>
                </c:pt>
                <c:pt idx="185">
                  <c:v>2.38</c:v>
                </c:pt>
                <c:pt idx="186">
                  <c:v>2.38</c:v>
                </c:pt>
                <c:pt idx="187">
                  <c:v>2.38</c:v>
                </c:pt>
                <c:pt idx="188">
                  <c:v>2.38</c:v>
                </c:pt>
                <c:pt idx="189">
                  <c:v>2.38</c:v>
                </c:pt>
                <c:pt idx="190">
                  <c:v>2.38</c:v>
                </c:pt>
                <c:pt idx="191">
                  <c:v>2.38</c:v>
                </c:pt>
                <c:pt idx="192">
                  <c:v>2.38</c:v>
                </c:pt>
                <c:pt idx="193">
                  <c:v>2.38</c:v>
                </c:pt>
                <c:pt idx="194">
                  <c:v>2.38</c:v>
                </c:pt>
                <c:pt idx="195">
                  <c:v>2.38</c:v>
                </c:pt>
                <c:pt idx="196">
                  <c:v>2.38</c:v>
                </c:pt>
                <c:pt idx="197">
                  <c:v>2.38</c:v>
                </c:pt>
                <c:pt idx="198">
                  <c:v>2.38</c:v>
                </c:pt>
                <c:pt idx="199">
                  <c:v>2.38</c:v>
                </c:pt>
                <c:pt idx="200">
                  <c:v>2.38</c:v>
                </c:pt>
                <c:pt idx="201">
                  <c:v>2.38</c:v>
                </c:pt>
                <c:pt idx="202">
                  <c:v>2.38</c:v>
                </c:pt>
                <c:pt idx="203">
                  <c:v>2.38</c:v>
                </c:pt>
                <c:pt idx="204">
                  <c:v>2.38</c:v>
                </c:pt>
                <c:pt idx="205">
                  <c:v>2.38</c:v>
                </c:pt>
                <c:pt idx="206">
                  <c:v>2.38</c:v>
                </c:pt>
                <c:pt idx="207">
                  <c:v>2.38</c:v>
                </c:pt>
                <c:pt idx="208">
                  <c:v>2.38</c:v>
                </c:pt>
                <c:pt idx="209">
                  <c:v>2.38</c:v>
                </c:pt>
                <c:pt idx="210">
                  <c:v>2.38</c:v>
                </c:pt>
                <c:pt idx="211">
                  <c:v>2.38</c:v>
                </c:pt>
                <c:pt idx="212">
                  <c:v>2.38</c:v>
                </c:pt>
                <c:pt idx="213">
                  <c:v>2.38</c:v>
                </c:pt>
                <c:pt idx="214">
                  <c:v>2.38</c:v>
                </c:pt>
                <c:pt idx="215">
                  <c:v>2.38</c:v>
                </c:pt>
                <c:pt idx="216">
                  <c:v>2.38</c:v>
                </c:pt>
                <c:pt idx="217">
                  <c:v>2.38</c:v>
                </c:pt>
                <c:pt idx="218">
                  <c:v>2.38</c:v>
                </c:pt>
                <c:pt idx="219">
                  <c:v>2.38</c:v>
                </c:pt>
                <c:pt idx="220">
                  <c:v>2.38</c:v>
                </c:pt>
                <c:pt idx="221">
                  <c:v>2.38</c:v>
                </c:pt>
                <c:pt idx="222">
                  <c:v>2.38</c:v>
                </c:pt>
                <c:pt idx="223">
                  <c:v>2.38</c:v>
                </c:pt>
                <c:pt idx="224">
                  <c:v>2.38</c:v>
                </c:pt>
                <c:pt idx="225">
                  <c:v>2.38</c:v>
                </c:pt>
                <c:pt idx="226">
                  <c:v>2.38</c:v>
                </c:pt>
                <c:pt idx="227">
                  <c:v>2.38</c:v>
                </c:pt>
                <c:pt idx="228">
                  <c:v>2.38</c:v>
                </c:pt>
                <c:pt idx="229">
                  <c:v>2.38</c:v>
                </c:pt>
                <c:pt idx="230">
                  <c:v>2.38</c:v>
                </c:pt>
                <c:pt idx="231">
                  <c:v>2.38</c:v>
                </c:pt>
                <c:pt idx="232">
                  <c:v>2.38</c:v>
                </c:pt>
                <c:pt idx="233">
                  <c:v>2.38</c:v>
                </c:pt>
                <c:pt idx="234">
                  <c:v>2.38</c:v>
                </c:pt>
                <c:pt idx="235">
                  <c:v>2.38</c:v>
                </c:pt>
                <c:pt idx="236">
                  <c:v>2.38</c:v>
                </c:pt>
                <c:pt idx="237">
                  <c:v>2.38</c:v>
                </c:pt>
                <c:pt idx="238">
                  <c:v>2.38</c:v>
                </c:pt>
                <c:pt idx="239">
                  <c:v>2.38</c:v>
                </c:pt>
                <c:pt idx="240">
                  <c:v>2.38</c:v>
                </c:pt>
                <c:pt idx="241">
                  <c:v>2.38</c:v>
                </c:pt>
                <c:pt idx="242">
                  <c:v>2.38</c:v>
                </c:pt>
                <c:pt idx="243">
                  <c:v>2.38</c:v>
                </c:pt>
                <c:pt idx="244">
                  <c:v>2.38</c:v>
                </c:pt>
                <c:pt idx="245">
                  <c:v>2.38</c:v>
                </c:pt>
                <c:pt idx="246">
                  <c:v>2.38</c:v>
                </c:pt>
                <c:pt idx="247">
                  <c:v>2.38</c:v>
                </c:pt>
                <c:pt idx="248">
                  <c:v>2.38</c:v>
                </c:pt>
                <c:pt idx="249">
                  <c:v>2.38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2.38</c:v>
                </c:pt>
                <c:pt idx="254">
                  <c:v>2.38</c:v>
                </c:pt>
                <c:pt idx="255">
                  <c:v>2.38</c:v>
                </c:pt>
                <c:pt idx="256">
                  <c:v>2.38</c:v>
                </c:pt>
                <c:pt idx="257">
                  <c:v>2.38</c:v>
                </c:pt>
                <c:pt idx="258">
                  <c:v>2.38</c:v>
                </c:pt>
                <c:pt idx="259">
                  <c:v>2.38</c:v>
                </c:pt>
                <c:pt idx="260">
                  <c:v>2.38</c:v>
                </c:pt>
                <c:pt idx="261">
                  <c:v>2.38</c:v>
                </c:pt>
                <c:pt idx="262">
                  <c:v>2.38</c:v>
                </c:pt>
                <c:pt idx="263">
                  <c:v>2.38</c:v>
                </c:pt>
                <c:pt idx="264">
                  <c:v>2.38</c:v>
                </c:pt>
                <c:pt idx="265">
                  <c:v>2.38</c:v>
                </c:pt>
                <c:pt idx="266">
                  <c:v>2.38</c:v>
                </c:pt>
                <c:pt idx="267">
                  <c:v>2.38</c:v>
                </c:pt>
                <c:pt idx="268">
                  <c:v>2.38</c:v>
                </c:pt>
                <c:pt idx="269">
                  <c:v>2.38</c:v>
                </c:pt>
                <c:pt idx="270">
                  <c:v>2.38</c:v>
                </c:pt>
                <c:pt idx="271">
                  <c:v>2.38</c:v>
                </c:pt>
                <c:pt idx="272">
                  <c:v>2.38</c:v>
                </c:pt>
                <c:pt idx="273">
                  <c:v>2.38</c:v>
                </c:pt>
                <c:pt idx="274">
                  <c:v>2.38</c:v>
                </c:pt>
                <c:pt idx="275">
                  <c:v>2.38</c:v>
                </c:pt>
                <c:pt idx="276">
                  <c:v>2.38</c:v>
                </c:pt>
                <c:pt idx="277">
                  <c:v>2.38</c:v>
                </c:pt>
                <c:pt idx="278">
                  <c:v>2.38</c:v>
                </c:pt>
                <c:pt idx="279">
                  <c:v>2.38</c:v>
                </c:pt>
                <c:pt idx="280">
                  <c:v>2.38</c:v>
                </c:pt>
                <c:pt idx="281">
                  <c:v>2.38</c:v>
                </c:pt>
                <c:pt idx="282">
                  <c:v>2.38</c:v>
                </c:pt>
                <c:pt idx="283">
                  <c:v>2.38</c:v>
                </c:pt>
                <c:pt idx="284">
                  <c:v>2.38</c:v>
                </c:pt>
                <c:pt idx="285">
                  <c:v>2.38</c:v>
                </c:pt>
                <c:pt idx="286">
                  <c:v>2.38</c:v>
                </c:pt>
                <c:pt idx="287">
                  <c:v>2.38</c:v>
                </c:pt>
                <c:pt idx="288">
                  <c:v>2.38</c:v>
                </c:pt>
                <c:pt idx="289">
                  <c:v>2.38</c:v>
                </c:pt>
                <c:pt idx="290">
                  <c:v>2.38</c:v>
                </c:pt>
                <c:pt idx="291">
                  <c:v>2.38</c:v>
                </c:pt>
                <c:pt idx="292">
                  <c:v>2.38</c:v>
                </c:pt>
                <c:pt idx="293">
                  <c:v>2.38</c:v>
                </c:pt>
                <c:pt idx="294">
                  <c:v>2.38</c:v>
                </c:pt>
                <c:pt idx="295">
                  <c:v>2.38</c:v>
                </c:pt>
                <c:pt idx="296">
                  <c:v>2.38</c:v>
                </c:pt>
                <c:pt idx="297">
                  <c:v>2.38</c:v>
                </c:pt>
                <c:pt idx="298">
                  <c:v>2.38</c:v>
                </c:pt>
                <c:pt idx="299">
                  <c:v>2.38</c:v>
                </c:pt>
                <c:pt idx="300">
                  <c:v>2.38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0.68664000000000236</c:v>
                </c:pt>
                <c:pt idx="127">
                  <c:v>0.72328000000000259</c:v>
                </c:pt>
                <c:pt idx="128">
                  <c:v>0.75992000000000282</c:v>
                </c:pt>
                <c:pt idx="129">
                  <c:v>0.79656000000000304</c:v>
                </c:pt>
                <c:pt idx="130">
                  <c:v>0.83320000000000238</c:v>
                </c:pt>
                <c:pt idx="131">
                  <c:v>0.86984000000000261</c:v>
                </c:pt>
                <c:pt idx="132">
                  <c:v>0.90648000000000284</c:v>
                </c:pt>
                <c:pt idx="133">
                  <c:v>0.94312000000000307</c:v>
                </c:pt>
                <c:pt idx="134">
                  <c:v>0.97976000000000241</c:v>
                </c:pt>
                <c:pt idx="135">
                  <c:v>1.0164000000000026</c:v>
                </c:pt>
                <c:pt idx="136">
                  <c:v>1.0530400000000029</c:v>
                </c:pt>
                <c:pt idx="137">
                  <c:v>1.0896800000000031</c:v>
                </c:pt>
                <c:pt idx="138">
                  <c:v>1.1263200000000033</c:v>
                </c:pt>
                <c:pt idx="139">
                  <c:v>1.1629600000000027</c:v>
                </c:pt>
                <c:pt idx="140">
                  <c:v>1.1996000000000029</c:v>
                </c:pt>
                <c:pt idx="141">
                  <c:v>1.2362400000000031</c:v>
                </c:pt>
                <c:pt idx="142">
                  <c:v>1.2728800000000033</c:v>
                </c:pt>
                <c:pt idx="143">
                  <c:v>1.3095200000000027</c:v>
                </c:pt>
                <c:pt idx="144">
                  <c:v>1.3461600000000029</c:v>
                </c:pt>
                <c:pt idx="145">
                  <c:v>1.3828000000000031</c:v>
                </c:pt>
                <c:pt idx="146">
                  <c:v>1.4194400000000034</c:v>
                </c:pt>
                <c:pt idx="147">
                  <c:v>1.4560800000000036</c:v>
                </c:pt>
                <c:pt idx="148">
                  <c:v>1.4927200000000029</c:v>
                </c:pt>
                <c:pt idx="149">
                  <c:v>1.5293600000000032</c:v>
                </c:pt>
                <c:pt idx="150">
                  <c:v>1.5660000000000034</c:v>
                </c:pt>
                <c:pt idx="151">
                  <c:v>1.5660000000000034</c:v>
                </c:pt>
                <c:pt idx="152">
                  <c:v>1.5660000000000034</c:v>
                </c:pt>
                <c:pt idx="153">
                  <c:v>1.5660000000000034</c:v>
                </c:pt>
                <c:pt idx="154">
                  <c:v>1.5660000000000034</c:v>
                </c:pt>
                <c:pt idx="155">
                  <c:v>1.5660000000000034</c:v>
                </c:pt>
                <c:pt idx="156">
                  <c:v>1.5660000000000034</c:v>
                </c:pt>
                <c:pt idx="157">
                  <c:v>1.5660000000000034</c:v>
                </c:pt>
                <c:pt idx="158">
                  <c:v>1.5660000000000034</c:v>
                </c:pt>
                <c:pt idx="159">
                  <c:v>1.5660000000000034</c:v>
                </c:pt>
                <c:pt idx="160">
                  <c:v>1.5660000000000034</c:v>
                </c:pt>
                <c:pt idx="161">
                  <c:v>1.5660000000000034</c:v>
                </c:pt>
                <c:pt idx="162">
                  <c:v>1.5660000000000034</c:v>
                </c:pt>
                <c:pt idx="163">
                  <c:v>1.5660000000000034</c:v>
                </c:pt>
                <c:pt idx="164">
                  <c:v>1.5660000000000034</c:v>
                </c:pt>
                <c:pt idx="165">
                  <c:v>1.5660000000000034</c:v>
                </c:pt>
                <c:pt idx="166">
                  <c:v>1.5660000000000034</c:v>
                </c:pt>
                <c:pt idx="167">
                  <c:v>1.5660000000000034</c:v>
                </c:pt>
                <c:pt idx="168">
                  <c:v>1.5660000000000034</c:v>
                </c:pt>
                <c:pt idx="169">
                  <c:v>1.5660000000000034</c:v>
                </c:pt>
                <c:pt idx="170">
                  <c:v>1.5660000000000034</c:v>
                </c:pt>
                <c:pt idx="171">
                  <c:v>1.5660000000000034</c:v>
                </c:pt>
                <c:pt idx="172">
                  <c:v>1.5660000000000034</c:v>
                </c:pt>
                <c:pt idx="173">
                  <c:v>1.5660000000000034</c:v>
                </c:pt>
                <c:pt idx="174">
                  <c:v>1.5660000000000034</c:v>
                </c:pt>
                <c:pt idx="175">
                  <c:v>1.5660000000000052</c:v>
                </c:pt>
                <c:pt idx="176">
                  <c:v>1.6026400000000054</c:v>
                </c:pt>
                <c:pt idx="177">
                  <c:v>1.6392800000000056</c:v>
                </c:pt>
                <c:pt idx="178">
                  <c:v>1.675920000000005</c:v>
                </c:pt>
                <c:pt idx="179">
                  <c:v>1.7125600000000052</c:v>
                </c:pt>
                <c:pt idx="180">
                  <c:v>1.7492000000000054</c:v>
                </c:pt>
                <c:pt idx="181">
                  <c:v>1.7858400000000056</c:v>
                </c:pt>
                <c:pt idx="182">
                  <c:v>1.822480000000005</c:v>
                </c:pt>
                <c:pt idx="183">
                  <c:v>1.8591200000000052</c:v>
                </c:pt>
                <c:pt idx="184">
                  <c:v>1.8957600000000054</c:v>
                </c:pt>
                <c:pt idx="185">
                  <c:v>1.9324000000000057</c:v>
                </c:pt>
                <c:pt idx="186">
                  <c:v>1.9690400000000059</c:v>
                </c:pt>
                <c:pt idx="187">
                  <c:v>2.0056800000000052</c:v>
                </c:pt>
                <c:pt idx="188">
                  <c:v>2.0423200000000055</c:v>
                </c:pt>
                <c:pt idx="189">
                  <c:v>2.0789600000000057</c:v>
                </c:pt>
                <c:pt idx="190">
                  <c:v>2.1156000000000059</c:v>
                </c:pt>
                <c:pt idx="191">
                  <c:v>2.1522400000000053</c:v>
                </c:pt>
                <c:pt idx="192">
                  <c:v>2.1888800000000055</c:v>
                </c:pt>
                <c:pt idx="193">
                  <c:v>2.2255200000000057</c:v>
                </c:pt>
                <c:pt idx="194">
                  <c:v>2.2621600000000059</c:v>
                </c:pt>
                <c:pt idx="195">
                  <c:v>2.2988000000000062</c:v>
                </c:pt>
                <c:pt idx="196">
                  <c:v>2.3354400000000055</c:v>
                </c:pt>
                <c:pt idx="197">
                  <c:v>2.3720800000000057</c:v>
                </c:pt>
                <c:pt idx="198">
                  <c:v>2.408720000000006</c:v>
                </c:pt>
                <c:pt idx="199">
                  <c:v>2.4453600000000062</c:v>
                </c:pt>
                <c:pt idx="200">
                  <c:v>2.4820000000000046</c:v>
                </c:pt>
                <c:pt idx="201">
                  <c:v>2.5583200000000068</c:v>
                </c:pt>
                <c:pt idx="202">
                  <c:v>2.6196400000000053</c:v>
                </c:pt>
                <c:pt idx="203">
                  <c:v>2.6809600000000038</c:v>
                </c:pt>
                <c:pt idx="204">
                  <c:v>2.7422800000000023</c:v>
                </c:pt>
                <c:pt idx="205">
                  <c:v>2.8036000000000008</c:v>
                </c:pt>
                <c:pt idx="206">
                  <c:v>2.8649199999999992</c:v>
                </c:pt>
                <c:pt idx="207">
                  <c:v>2.9262399999999977</c:v>
                </c:pt>
                <c:pt idx="208">
                  <c:v>2.987559999999998</c:v>
                </c:pt>
                <c:pt idx="209">
                  <c:v>3.0488799999999965</c:v>
                </c:pt>
                <c:pt idx="210">
                  <c:v>3.110199999999995</c:v>
                </c:pt>
                <c:pt idx="211">
                  <c:v>3.1715199999999935</c:v>
                </c:pt>
                <c:pt idx="212">
                  <c:v>3.2328399999999919</c:v>
                </c:pt>
                <c:pt idx="213">
                  <c:v>3.2941599999999904</c:v>
                </c:pt>
                <c:pt idx="214">
                  <c:v>3.3554799999999889</c:v>
                </c:pt>
                <c:pt idx="215">
                  <c:v>3.4167999999999874</c:v>
                </c:pt>
                <c:pt idx="216">
                  <c:v>3.4781199999999859</c:v>
                </c:pt>
                <c:pt idx="217">
                  <c:v>3.5394399999999862</c:v>
                </c:pt>
                <c:pt idx="218">
                  <c:v>3.6007599999999846</c:v>
                </c:pt>
                <c:pt idx="219">
                  <c:v>3.6620799999999831</c:v>
                </c:pt>
                <c:pt idx="220">
                  <c:v>3.7233999999999816</c:v>
                </c:pt>
                <c:pt idx="221">
                  <c:v>3.7847199999999801</c:v>
                </c:pt>
                <c:pt idx="222">
                  <c:v>3.8460399999999786</c:v>
                </c:pt>
                <c:pt idx="223">
                  <c:v>3.9073599999999771</c:v>
                </c:pt>
                <c:pt idx="224">
                  <c:v>3.9686799999999756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1.3000000000000043</c:v>
                </c:pt>
                <c:pt idx="101">
                  <c:v>1.3677200000000047</c:v>
                </c:pt>
                <c:pt idx="102">
                  <c:v>1.4354400000000043</c:v>
                </c:pt>
                <c:pt idx="103">
                  <c:v>1.5031600000000047</c:v>
                </c:pt>
                <c:pt idx="104">
                  <c:v>1.5708800000000043</c:v>
                </c:pt>
                <c:pt idx="105">
                  <c:v>1.6386000000000047</c:v>
                </c:pt>
                <c:pt idx="106">
                  <c:v>1.7063200000000043</c:v>
                </c:pt>
                <c:pt idx="107">
                  <c:v>1.7740400000000047</c:v>
                </c:pt>
                <c:pt idx="108">
                  <c:v>1.8417600000000052</c:v>
                </c:pt>
                <c:pt idx="109">
                  <c:v>1.9094800000000047</c:v>
                </c:pt>
                <c:pt idx="110">
                  <c:v>1.9772000000000052</c:v>
                </c:pt>
                <c:pt idx="111">
                  <c:v>2.0449200000000047</c:v>
                </c:pt>
                <c:pt idx="112">
                  <c:v>2.1126400000000052</c:v>
                </c:pt>
                <c:pt idx="113">
                  <c:v>2.1803600000000047</c:v>
                </c:pt>
                <c:pt idx="114">
                  <c:v>2.2480800000000052</c:v>
                </c:pt>
                <c:pt idx="115">
                  <c:v>2.3158000000000047</c:v>
                </c:pt>
                <c:pt idx="116">
                  <c:v>2.3835200000000052</c:v>
                </c:pt>
                <c:pt idx="117">
                  <c:v>2.4512400000000056</c:v>
                </c:pt>
                <c:pt idx="118">
                  <c:v>2.5189600000000052</c:v>
                </c:pt>
                <c:pt idx="119">
                  <c:v>2.5866800000000048</c:v>
                </c:pt>
                <c:pt idx="120">
                  <c:v>2.6544000000000061</c:v>
                </c:pt>
                <c:pt idx="121">
                  <c:v>2.7221200000000056</c:v>
                </c:pt>
                <c:pt idx="122">
                  <c:v>2.7898400000000052</c:v>
                </c:pt>
                <c:pt idx="123">
                  <c:v>2.8575600000000048</c:v>
                </c:pt>
                <c:pt idx="124">
                  <c:v>2.9252800000000061</c:v>
                </c:pt>
                <c:pt idx="125">
                  <c:v>2.9929999999999977</c:v>
                </c:pt>
                <c:pt idx="126">
                  <c:v>2.9725599999999974</c:v>
                </c:pt>
                <c:pt idx="127">
                  <c:v>2.9521199999999976</c:v>
                </c:pt>
                <c:pt idx="128">
                  <c:v>2.9316799999999974</c:v>
                </c:pt>
                <c:pt idx="129">
                  <c:v>2.9112399999999976</c:v>
                </c:pt>
                <c:pt idx="130">
                  <c:v>2.8907999999999974</c:v>
                </c:pt>
                <c:pt idx="131">
                  <c:v>2.8703599999999976</c:v>
                </c:pt>
                <c:pt idx="132">
                  <c:v>2.8499199999999973</c:v>
                </c:pt>
                <c:pt idx="133">
                  <c:v>2.8294799999999976</c:v>
                </c:pt>
                <c:pt idx="134">
                  <c:v>2.8090399999999973</c:v>
                </c:pt>
                <c:pt idx="135">
                  <c:v>2.7885999999999975</c:v>
                </c:pt>
                <c:pt idx="136">
                  <c:v>2.7681599999999973</c:v>
                </c:pt>
                <c:pt idx="137">
                  <c:v>2.7477199999999975</c:v>
                </c:pt>
                <c:pt idx="138">
                  <c:v>2.7272799999999973</c:v>
                </c:pt>
                <c:pt idx="139">
                  <c:v>2.7068399999999975</c:v>
                </c:pt>
                <c:pt idx="140">
                  <c:v>2.6863999999999972</c:v>
                </c:pt>
                <c:pt idx="141">
                  <c:v>2.6659599999999974</c:v>
                </c:pt>
                <c:pt idx="142">
                  <c:v>2.6455199999999972</c:v>
                </c:pt>
                <c:pt idx="143">
                  <c:v>2.6250799999999974</c:v>
                </c:pt>
                <c:pt idx="144">
                  <c:v>2.6046399999999972</c:v>
                </c:pt>
                <c:pt idx="145">
                  <c:v>2.5841999999999969</c:v>
                </c:pt>
                <c:pt idx="146">
                  <c:v>2.5637599999999972</c:v>
                </c:pt>
                <c:pt idx="147">
                  <c:v>2.5433199999999969</c:v>
                </c:pt>
                <c:pt idx="148">
                  <c:v>2.5228799999999971</c:v>
                </c:pt>
                <c:pt idx="149">
                  <c:v>2.5024399999999969</c:v>
                </c:pt>
                <c:pt idx="150">
                  <c:v>2.482000000000002</c:v>
                </c:pt>
                <c:pt idx="151">
                  <c:v>2.5024400000000022</c:v>
                </c:pt>
                <c:pt idx="152">
                  <c:v>2.522880000000002</c:v>
                </c:pt>
                <c:pt idx="153">
                  <c:v>2.5433200000000022</c:v>
                </c:pt>
                <c:pt idx="154">
                  <c:v>2.563760000000002</c:v>
                </c:pt>
                <c:pt idx="155">
                  <c:v>2.5842000000000023</c:v>
                </c:pt>
                <c:pt idx="156">
                  <c:v>2.6046400000000021</c:v>
                </c:pt>
                <c:pt idx="157">
                  <c:v>2.6250800000000023</c:v>
                </c:pt>
                <c:pt idx="158">
                  <c:v>2.6455200000000021</c:v>
                </c:pt>
                <c:pt idx="159">
                  <c:v>2.6659600000000023</c:v>
                </c:pt>
                <c:pt idx="160">
                  <c:v>2.6864000000000021</c:v>
                </c:pt>
                <c:pt idx="161">
                  <c:v>2.7068400000000024</c:v>
                </c:pt>
                <c:pt idx="162">
                  <c:v>2.7272800000000021</c:v>
                </c:pt>
                <c:pt idx="163">
                  <c:v>2.7477200000000024</c:v>
                </c:pt>
                <c:pt idx="164">
                  <c:v>2.7681600000000022</c:v>
                </c:pt>
                <c:pt idx="165">
                  <c:v>2.7886000000000024</c:v>
                </c:pt>
                <c:pt idx="166">
                  <c:v>2.8090400000000022</c:v>
                </c:pt>
                <c:pt idx="167">
                  <c:v>2.8294800000000024</c:v>
                </c:pt>
                <c:pt idx="168">
                  <c:v>2.8499200000000022</c:v>
                </c:pt>
                <c:pt idx="169">
                  <c:v>2.8703600000000025</c:v>
                </c:pt>
                <c:pt idx="170">
                  <c:v>2.8908000000000027</c:v>
                </c:pt>
                <c:pt idx="171">
                  <c:v>2.9112400000000025</c:v>
                </c:pt>
                <c:pt idx="172">
                  <c:v>2.9316800000000027</c:v>
                </c:pt>
                <c:pt idx="173">
                  <c:v>2.9521200000000025</c:v>
                </c:pt>
                <c:pt idx="174">
                  <c:v>2.9725600000000028</c:v>
                </c:pt>
                <c:pt idx="175">
                  <c:v>2.9929999999999968</c:v>
                </c:pt>
                <c:pt idx="176">
                  <c:v>2.9725599999999965</c:v>
                </c:pt>
                <c:pt idx="177">
                  <c:v>2.9521199999999967</c:v>
                </c:pt>
                <c:pt idx="178">
                  <c:v>2.9316799999999965</c:v>
                </c:pt>
                <c:pt idx="179">
                  <c:v>2.9112399999999967</c:v>
                </c:pt>
                <c:pt idx="180">
                  <c:v>2.8907999999999965</c:v>
                </c:pt>
                <c:pt idx="181">
                  <c:v>2.8703599999999967</c:v>
                </c:pt>
                <c:pt idx="182">
                  <c:v>2.8499199999999965</c:v>
                </c:pt>
                <c:pt idx="183">
                  <c:v>2.8294799999999967</c:v>
                </c:pt>
                <c:pt idx="184">
                  <c:v>2.8090399999999964</c:v>
                </c:pt>
                <c:pt idx="185">
                  <c:v>2.7885999999999966</c:v>
                </c:pt>
                <c:pt idx="186">
                  <c:v>2.7681599999999964</c:v>
                </c:pt>
                <c:pt idx="187">
                  <c:v>2.7477199999999966</c:v>
                </c:pt>
                <c:pt idx="188">
                  <c:v>2.7272799999999964</c:v>
                </c:pt>
                <c:pt idx="189">
                  <c:v>2.7068399999999966</c:v>
                </c:pt>
                <c:pt idx="190">
                  <c:v>2.6863999999999963</c:v>
                </c:pt>
                <c:pt idx="191">
                  <c:v>2.6659599999999966</c:v>
                </c:pt>
                <c:pt idx="192">
                  <c:v>2.6455199999999963</c:v>
                </c:pt>
                <c:pt idx="193">
                  <c:v>2.6250799999999961</c:v>
                </c:pt>
                <c:pt idx="194">
                  <c:v>2.6046399999999963</c:v>
                </c:pt>
                <c:pt idx="195">
                  <c:v>2.5841999999999961</c:v>
                </c:pt>
                <c:pt idx="196">
                  <c:v>2.5637599999999958</c:v>
                </c:pt>
                <c:pt idx="197">
                  <c:v>2.543319999999996</c:v>
                </c:pt>
                <c:pt idx="198">
                  <c:v>2.5228799999999962</c:v>
                </c:pt>
                <c:pt idx="199">
                  <c:v>2.5024399999999964</c:v>
                </c:pt>
                <c:pt idx="200">
                  <c:v>2.4820000000000082</c:v>
                </c:pt>
                <c:pt idx="201">
                  <c:v>2.5433200000000067</c:v>
                </c:pt>
                <c:pt idx="202">
                  <c:v>2.6046400000000052</c:v>
                </c:pt>
                <c:pt idx="203">
                  <c:v>2.6659600000000037</c:v>
                </c:pt>
                <c:pt idx="204">
                  <c:v>2.7272800000000021</c:v>
                </c:pt>
                <c:pt idx="205">
                  <c:v>2.7886000000000006</c:v>
                </c:pt>
                <c:pt idx="206">
                  <c:v>2.8499199999999991</c:v>
                </c:pt>
                <c:pt idx="207">
                  <c:v>2.9112399999999976</c:v>
                </c:pt>
                <c:pt idx="208">
                  <c:v>2.9725599999999979</c:v>
                </c:pt>
                <c:pt idx="209">
                  <c:v>3.0338799999999964</c:v>
                </c:pt>
                <c:pt idx="210">
                  <c:v>3.0951999999999948</c:v>
                </c:pt>
                <c:pt idx="211">
                  <c:v>3.1565199999999933</c:v>
                </c:pt>
                <c:pt idx="212">
                  <c:v>3.2178399999999918</c:v>
                </c:pt>
                <c:pt idx="213">
                  <c:v>3.2791599999999903</c:v>
                </c:pt>
                <c:pt idx="214">
                  <c:v>3.3404799999999888</c:v>
                </c:pt>
                <c:pt idx="215">
                  <c:v>3.4017999999999873</c:v>
                </c:pt>
                <c:pt idx="216">
                  <c:v>3.4631199999999858</c:v>
                </c:pt>
                <c:pt idx="217">
                  <c:v>3.524439999999986</c:v>
                </c:pt>
                <c:pt idx="218">
                  <c:v>3.5857599999999845</c:v>
                </c:pt>
                <c:pt idx="219">
                  <c:v>3.647079999999983</c:v>
                </c:pt>
                <c:pt idx="220">
                  <c:v>3.7083999999999815</c:v>
                </c:pt>
                <c:pt idx="221">
                  <c:v>3.76971999999998</c:v>
                </c:pt>
                <c:pt idx="222">
                  <c:v>3.8310399999999785</c:v>
                </c:pt>
                <c:pt idx="223">
                  <c:v>3.8923599999999769</c:v>
                </c:pt>
                <c:pt idx="224">
                  <c:v>3.9536799999999754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#WERT!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4236464"/>
        <c:axId val="-1304235920"/>
      </c:scatterChart>
      <c:valAx>
        <c:axId val="-1304236464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-1304235920"/>
        <c:crosses val="autoZero"/>
        <c:crossBetween val="midCat"/>
        <c:majorUnit val="1"/>
      </c:valAx>
      <c:valAx>
        <c:axId val="-130423592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-1304236464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85725</xdr:rowOff>
        </xdr:from>
        <xdr:to>
          <xdr:col>10</xdr:col>
          <xdr:colOff>3200400</xdr:colOff>
          <xdr:row>4</xdr:row>
          <xdr:rowOff>142875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7846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38100</xdr:rowOff>
        </xdr:from>
        <xdr:to>
          <xdr:col>10</xdr:col>
          <xdr:colOff>1809750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9" zoomScaleNormal="89" zoomScaleSheetLayoutView="89" workbookViewId="0">
      <pane ySplit="7" topLeftCell="A74" activePane="bottomLeft" state="frozen"/>
      <selection activeCell="B148" sqref="B148"/>
      <selection pane="bottomLeft" activeCell="B88" sqref="B88"/>
    </sheetView>
  </sheetViews>
  <sheetFormatPr baseColWidth="10" defaultColWidth="9.140625" defaultRowHeight="15" x14ac:dyDescent="0.25"/>
  <cols>
    <col min="1" max="1" width="60.42578125" style="55" bestFit="1" customWidth="1"/>
    <col min="2" max="2" width="24.7109375" style="103" bestFit="1" customWidth="1"/>
    <col min="3" max="3" width="7.42578125" style="55" customWidth="1"/>
    <col min="4" max="4" width="40.5703125" style="55" customWidth="1"/>
    <col min="5" max="5" width="13.140625" style="55" bestFit="1" customWidth="1"/>
    <col min="6" max="6" width="54.7109375" style="104" customWidth="1"/>
    <col min="7" max="7" width="49.7109375" style="104" customWidth="1"/>
    <col min="8" max="8" width="12.7109375" style="54" hidden="1" customWidth="1"/>
    <col min="9" max="9" width="12.7109375" style="55" hidden="1" customWidth="1"/>
    <col min="10" max="10" width="10" style="55" hidden="1" customWidth="1"/>
    <col min="11" max="11" width="49.7109375" style="175" customWidth="1"/>
    <col min="12" max="16384" width="9.140625" style="56"/>
  </cols>
  <sheetData>
    <row r="1" spans="1:12" ht="34.5" thickBot="1" x14ac:dyDescent="0.3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.75" x14ac:dyDescent="0.25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25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25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25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.75" thickBot="1" x14ac:dyDescent="0.3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.75" thickBot="1" x14ac:dyDescent="0.3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4" collapsed="1" thickBot="1" x14ac:dyDescent="0.3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25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25">
      <c r="A10" s="59" t="s">
        <v>57</v>
      </c>
      <c r="B10" s="106" t="s">
        <v>58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">
      <c r="A11" s="64" t="s">
        <v>60</v>
      </c>
      <c r="B11" s="107">
        <v>0.875</v>
      </c>
      <c r="C11" s="65" t="s">
        <v>63</v>
      </c>
      <c r="D11" s="66" t="s">
        <v>115</v>
      </c>
      <c r="E11" s="65" t="str">
        <f>HLOOKUP(B11,constants!B2:N4,3,FALSE)</f>
        <v>0x0C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TEG is usually 50%</v>
      </c>
      <c r="G11" s="67"/>
      <c r="H11" s="128"/>
      <c r="I11" s="76"/>
      <c r="J11" s="76"/>
      <c r="K11" s="173"/>
    </row>
    <row r="12" spans="1:12" ht="15.75" thickBot="1" x14ac:dyDescent="0.3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25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25">
      <c r="A14" s="59" t="s">
        <v>69</v>
      </c>
      <c r="B14" s="129" t="str">
        <f>IF(B10=constants!B1,constants!C8,constants!B8)</f>
        <v>Open voltage</v>
      </c>
      <c r="C14" s="63" t="s">
        <v>63</v>
      </c>
      <c r="D14" s="86" t="s">
        <v>116</v>
      </c>
      <c r="E14" s="63" t="str">
        <f>HLOOKUP(B14,constants!$B$8:$C$9,2,FALSE)</f>
        <v>'1'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1</v>
      </c>
      <c r="I14" s="74">
        <v>64</v>
      </c>
      <c r="J14" s="74"/>
      <c r="K14" s="173"/>
    </row>
    <row r="15" spans="1:12" ht="30" customHeight="1" thickBot="1" x14ac:dyDescent="0.3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25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25">
      <c r="A17" s="59" t="str">
        <f>IF(B14=constants!C8,"Unused","HRV resistivity (Rteg)")</f>
        <v>HRV resistivity (Rteg)</v>
      </c>
      <c r="B17" s="106">
        <v>100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</v>
      </c>
      <c r="G17" s="158"/>
      <c r="H17" s="127"/>
      <c r="I17" s="74"/>
      <c r="J17" s="74"/>
      <c r="K17" s="173"/>
    </row>
    <row r="18" spans="1:11" x14ac:dyDescent="0.25">
      <c r="A18" s="59" t="s">
        <v>81</v>
      </c>
      <c r="B18" s="131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288</v>
      </c>
      <c r="C18" s="74" t="s">
        <v>82</v>
      </c>
      <c r="D18" s="75" t="s">
        <v>117</v>
      </c>
      <c r="E18" s="74" t="str">
        <f>IF(B18&lt;&gt;messages!A78,VLOOKUP(B18,constants!E15:F18,2,FALSE),"0x01")</f>
        <v>0x03</v>
      </c>
      <c r="F18" s="158"/>
      <c r="G18" s="158" t="s">
        <v>84</v>
      </c>
      <c r="H18" s="127">
        <f>IF(B18&lt;&gt;messages!A78,VLOOKUP(B18,constants!E15:G18,3,FALSE),1)</f>
        <v>3</v>
      </c>
      <c r="I18" s="74">
        <v>1</v>
      </c>
      <c r="J18" s="74"/>
      <c r="K18" s="173"/>
    </row>
    <row r="19" spans="1:11" ht="30.75" thickBot="1" x14ac:dyDescent="0.3">
      <c r="A19" s="68" t="s">
        <v>86</v>
      </c>
      <c r="B19" s="132">
        <f>IF(B18=messages!A78,messages!A78,IF(B18=constants!B19,constants!B19,1000000*(0.001*settings!B18)^2/(4*settings!B17)))</f>
        <v>207.36000000000004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25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25">
      <c r="A21" s="59" t="s">
        <v>674</v>
      </c>
      <c r="B21" s="106">
        <v>0.8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25">
      <c r="A22" s="59" t="s">
        <v>101</v>
      </c>
      <c r="B22" s="166">
        <f>IF(B21&lt;0.2,0.2,VLOOKUP(ROUND(B21*B11,1),constants!A27:A40,1,TRUE))</f>
        <v>0.7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 (Non applicable)</v>
      </c>
      <c r="G22" s="158"/>
      <c r="H22" s="127"/>
      <c r="I22" s="74"/>
      <c r="J22" s="74"/>
      <c r="K22" s="173"/>
    </row>
    <row r="23" spans="1:11" x14ac:dyDescent="0.25">
      <c r="A23" s="59" t="s">
        <v>131</v>
      </c>
      <c r="B23" s="131" t="str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OK (Non applicable)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25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0x00</v>
      </c>
      <c r="F24" s="158" t="str">
        <f>IF(settings!B14&lt;&gt;constants!C8,messages!A78,IF(settings!B24&lt;settings!B23,messages!A9,messages!A77))</f>
        <v>OK (Non applicable)</v>
      </c>
      <c r="G24" s="158"/>
      <c r="H24" s="127"/>
      <c r="I24" s="74"/>
      <c r="J24" s="74"/>
      <c r="K24" s="173"/>
    </row>
    <row r="25" spans="1:11" ht="15.75" thickBot="1" x14ac:dyDescent="0.3">
      <c r="A25" s="64" t="s">
        <v>86</v>
      </c>
      <c r="B25" s="133" t="str">
        <f>IF(B14&lt;&gt;constants!C8,messages!A78,IF(settings!F22&lt;&gt;messages!A77,constants!B19,settings!B24*settings!B22))</f>
        <v>OK (Non applicable)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.75" thickBot="1" x14ac:dyDescent="0.3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25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25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25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5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25">
      <c r="A30" s="157" t="s">
        <v>137</v>
      </c>
      <c r="B30" s="106">
        <v>2048</v>
      </c>
      <c r="C30" s="80" t="s">
        <v>39</v>
      </c>
      <c r="D30" s="75" t="s">
        <v>127</v>
      </c>
      <c r="E30" s="74" t="str">
        <f>VLOOKUP(B30,constants!B51:D58,3,FALSE)</f>
        <v>0x07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16 ms</v>
      </c>
      <c r="H30" s="127"/>
      <c r="I30" s="74"/>
      <c r="J30" s="74"/>
      <c r="K30" s="173"/>
    </row>
    <row r="31" spans="1:11" ht="30" customHeight="1" x14ac:dyDescent="0.25">
      <c r="A31" s="157" t="s">
        <v>123</v>
      </c>
      <c r="B31" s="106">
        <v>16384</v>
      </c>
      <c r="C31" s="80" t="s">
        <v>39</v>
      </c>
      <c r="D31" s="75" t="s">
        <v>135</v>
      </c>
      <c r="E31" s="74" t="str">
        <f>VLOOKUP(B31,constants!C51:D58,2,FALSE)</f>
        <v>0x06</v>
      </c>
      <c r="F31" s="158" t="str">
        <f>IF(B31&lt;2*$B$30,messages!$A$12,IF(B31&lt;16*$B$30,messages!$A$53,messages!$A$77))</f>
        <v>WARNING: t_hrv_period short compare to t_hrv_meas; high efficiency loss in HRV check and sampling</v>
      </c>
      <c r="G31" s="158"/>
      <c r="H31" s="127"/>
      <c r="I31" s="74"/>
      <c r="J31" s="74"/>
      <c r="K31" s="173"/>
    </row>
    <row r="32" spans="1:11" x14ac:dyDescent="0.25">
      <c r="A32" s="157" t="s">
        <v>501</v>
      </c>
      <c r="B32" s="105">
        <f>B30/B31</f>
        <v>0.125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30.75" thickBot="1" x14ac:dyDescent="0.3">
      <c r="A33" s="81" t="s">
        <v>142</v>
      </c>
      <c r="B33" s="109">
        <v>2048</v>
      </c>
      <c r="C33" s="82" t="s">
        <v>39</v>
      </c>
      <c r="D33" s="78" t="s">
        <v>141</v>
      </c>
      <c r="E33" s="76" t="str">
        <f>VLOOKUP(B33,constants!C51:E58,3,FALSE)</f>
        <v>"011"</v>
      </c>
      <c r="F33" s="67" t="str">
        <f>messages!A67&amp;TRUNC(30000/(8*B33))/10&amp;" nW"</f>
        <v>Note: the power consumption of the HRV supervisory &amp; sampling in HRV LOW mode is: 0,1 nW</v>
      </c>
      <c r="G33" s="67"/>
      <c r="H33" s="128">
        <f>VLOOKUP(B33,constants!C51:F58,4,FALSE)</f>
        <v>3</v>
      </c>
      <c r="I33" s="76">
        <v>16</v>
      </c>
      <c r="J33" s="76"/>
      <c r="K33" s="174"/>
    </row>
    <row r="34" spans="1:11" s="61" customFormat="1" ht="24" collapsed="1" thickBot="1" x14ac:dyDescent="0.3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25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30" x14ac:dyDescent="0.25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25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30.75" thickBot="1" x14ac:dyDescent="0.3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.75" thickBot="1" x14ac:dyDescent="0.3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25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25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25">
      <c r="A42" s="59" t="s">
        <v>11</v>
      </c>
      <c r="B42" s="106">
        <v>3.6</v>
      </c>
      <c r="C42" s="80" t="s">
        <v>0</v>
      </c>
      <c r="D42" s="75" t="s">
        <v>29</v>
      </c>
      <c r="E42" s="74" t="str">
        <f>IF(H42&gt;9,"0x"&amp;DEC2HEX(H42),"0x0"&amp;DEC2HEX(H42))</f>
        <v>0x2E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46</v>
      </c>
      <c r="I42" s="74">
        <v>1</v>
      </c>
      <c r="J42" s="74"/>
      <c r="K42" s="173"/>
    </row>
    <row r="43" spans="1:11" ht="30" customHeight="1" thickBot="1" x14ac:dyDescent="0.3">
      <c r="A43" s="64" t="s">
        <v>558</v>
      </c>
      <c r="B43" s="109">
        <v>2</v>
      </c>
      <c r="C43" s="82" t="s">
        <v>0</v>
      </c>
      <c r="D43" s="78" t="s">
        <v>30</v>
      </c>
      <c r="E43" s="76" t="str">
        <f>IF(H43&gt;9,"0x"&amp;DEC2HEX(H43),"0x0"&amp;DEC2HEX(H43))</f>
        <v>0x1C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28</v>
      </c>
      <c r="I43" s="76">
        <v>1</v>
      </c>
      <c r="J43" s="76"/>
      <c r="K43" s="173"/>
    </row>
    <row r="44" spans="1:11" ht="15.75" thickBot="1" x14ac:dyDescent="0.3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25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45" x14ac:dyDescent="0.25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25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25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25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25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30" x14ac:dyDescent="0.25">
      <c r="A51" s="59" t="s">
        <v>168</v>
      </c>
      <c r="B51" s="106" t="s">
        <v>9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30" x14ac:dyDescent="0.25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30" x14ac:dyDescent="0.25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30" x14ac:dyDescent="0.25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25">
      <c r="A55" s="59" t="s">
        <v>176</v>
      </c>
      <c r="B55" s="131">
        <f>IF(B46=constants!C60,10*(IF(B51=constants!B60,B47,0)+IF(B52=constants!B60,B48,0)+IF(B53=constants!B60,B49,0)+IF(B54=constants!B60,B50,0)),constants!B75)</f>
        <v>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.75" thickBot="1" x14ac:dyDescent="0.3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25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25">
      <c r="A59" s="60" t="s">
        <v>177</v>
      </c>
      <c r="B59" s="79">
        <f>IF(B14=constants!B8,settings!B19,settings!B25)</f>
        <v>207.36000000000004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.75" x14ac:dyDescent="0.25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25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">
      <c r="A62" s="64" t="s">
        <v>179</v>
      </c>
      <c r="B62" s="109">
        <v>8</v>
      </c>
      <c r="C62" s="76" t="s">
        <v>39</v>
      </c>
      <c r="D62" s="78" t="s">
        <v>40</v>
      </c>
      <c r="E62" s="76" t="str">
        <f>"0x0"&amp;VLOOKUP(B62,constants!B78:D85,3,FALSE)</f>
        <v>0x02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.75" thickBot="1" x14ac:dyDescent="0.3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25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30" x14ac:dyDescent="0.25">
      <c r="A65" s="59" t="s">
        <v>559</v>
      </c>
      <c r="B65" s="106">
        <v>2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25">
      <c r="A66" s="157" t="s">
        <v>180</v>
      </c>
      <c r="B66" s="89">
        <f>IF(B46=constants!B60,(settings!H66+1)*constants!D64,2*(B62/1000)*(B65/1000)/(B56/1000000)+((TRUNC(B43/constants!B64-1)+1)+1)*constants!D64)</f>
        <v>2.5428499999999996</v>
      </c>
      <c r="C66" s="80" t="s">
        <v>0</v>
      </c>
      <c r="D66" s="75" t="s">
        <v>184</v>
      </c>
      <c r="E66" s="74" t="str">
        <f>IF(H66&gt;9,"0x"&amp;DEC2HEX(H66),"0x0"&amp;DEC2HEX(H66))</f>
        <v>0x21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33</v>
      </c>
      <c r="I66" s="74">
        <v>1</v>
      </c>
      <c r="J66" s="74"/>
      <c r="K66" s="173"/>
    </row>
    <row r="67" spans="1:11" ht="30" customHeight="1" thickBot="1" x14ac:dyDescent="0.3">
      <c r="A67" s="81" t="s">
        <v>181</v>
      </c>
      <c r="B67" s="90">
        <f>(H67+1)*constants!D64</f>
        <v>2.2995000000000001</v>
      </c>
      <c r="C67" s="82" t="s">
        <v>0</v>
      </c>
      <c r="D67" s="78" t="s">
        <v>185</v>
      </c>
      <c r="E67" s="76" t="str">
        <f>IF(H67&gt;9,"0x"&amp;DEC2HEX(H67),"0x0"&amp;DEC2HEX(H67))</f>
        <v>0x1D</v>
      </c>
      <c r="F67" s="67" t="str">
        <f>IF(H67&lt;H42,messages!A77,messages!A28)</f>
        <v>OK</v>
      </c>
      <c r="G67" s="67"/>
      <c r="H67" s="128">
        <f>H43+1</f>
        <v>29</v>
      </c>
      <c r="I67" s="76">
        <v>1</v>
      </c>
      <c r="J67" s="76"/>
      <c r="K67" s="173"/>
    </row>
    <row r="68" spans="1:11" ht="15.75" thickBot="1" x14ac:dyDescent="0.3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25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30" x14ac:dyDescent="0.25">
      <c r="A70" s="59" t="s">
        <v>182</v>
      </c>
      <c r="B70" s="106">
        <v>1.4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30" x14ac:dyDescent="0.25">
      <c r="A71" s="59" t="s">
        <v>45</v>
      </c>
      <c r="B71" s="106">
        <v>50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30" x14ac:dyDescent="0.25">
      <c r="A72" s="157" t="s">
        <v>489</v>
      </c>
      <c r="B72" s="89">
        <f>IF((6.65*B70^2)&gt;10,10,6.65*B70^2)</f>
        <v>10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3.1240998703626621</v>
      </c>
      <c r="C73" s="82" t="s">
        <v>0</v>
      </c>
      <c r="D73" s="78" t="s">
        <v>186</v>
      </c>
      <c r="E73" s="76" t="str">
        <f>IF(H73&gt;15,"0x"&amp;DEC2HEX(H73),"0x0"&amp;DEC2HEX(H73))</f>
        <v>0x28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40</v>
      </c>
      <c r="I73" s="76">
        <v>1</v>
      </c>
      <c r="J73" s="76"/>
      <c r="K73" s="173"/>
    </row>
    <row r="74" spans="1:11" ht="15.75" thickBot="1" x14ac:dyDescent="0.3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25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.75" thickBot="1" x14ac:dyDescent="0.3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25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30" x14ac:dyDescent="0.25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30.75" thickBot="1" x14ac:dyDescent="0.3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4" collapsed="1" thickBot="1" x14ac:dyDescent="0.3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25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.75" x14ac:dyDescent="0.25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25">
      <c r="A84" s="59" t="s">
        <v>194</v>
      </c>
      <c r="B84" s="106" t="s">
        <v>5</v>
      </c>
      <c r="C84" s="63" t="s">
        <v>63</v>
      </c>
      <c r="D84" s="75" t="s">
        <v>195</v>
      </c>
      <c r="E84" s="74" t="str">
        <f>IF(B84=constants!$B$60,"'1'","'0'")</f>
        <v>'1'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1</v>
      </c>
      <c r="I84" s="74">
        <v>1</v>
      </c>
      <c r="J84" s="74"/>
      <c r="K84" s="173"/>
    </row>
    <row r="85" spans="1:11" ht="30" customHeight="1" x14ac:dyDescent="0.25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.75" x14ac:dyDescent="0.25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100</v>
      </c>
      <c r="I86" s="74"/>
      <c r="J86" s="74"/>
      <c r="K86" s="173"/>
    </row>
    <row r="87" spans="1:11" ht="18.75" x14ac:dyDescent="0.25">
      <c r="A87" s="221"/>
      <c r="B87" s="106">
        <v>0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.75" x14ac:dyDescent="0.25">
      <c r="A88" s="221"/>
      <c r="B88" s="106">
        <v>0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0x00</v>
      </c>
      <c r="F88" s="222"/>
      <c r="G88" s="158"/>
      <c r="H88" s="127">
        <f>TRUNC((H86-H87*2^16)/(2^8))</f>
        <v>0</v>
      </c>
      <c r="I88" s="74">
        <v>1</v>
      </c>
      <c r="J88" s="74"/>
      <c r="K88" s="173"/>
    </row>
    <row r="89" spans="1:11" ht="18.75" x14ac:dyDescent="0.25">
      <c r="A89" s="221"/>
      <c r="B89" s="106">
        <v>100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0x64</v>
      </c>
      <c r="F89" s="222"/>
      <c r="G89" s="158"/>
      <c r="H89" s="127">
        <f>H86-H87*2^16-H88*2^8</f>
        <v>100</v>
      </c>
      <c r="I89" s="74">
        <v>1</v>
      </c>
      <c r="J89" s="74"/>
      <c r="K89" s="173"/>
    </row>
    <row r="90" spans="1:11" ht="30" customHeight="1" x14ac:dyDescent="0.25">
      <c r="A90" s="157" t="s">
        <v>208</v>
      </c>
      <c r="B90" s="106" t="s">
        <v>211</v>
      </c>
      <c r="C90" s="85" t="s">
        <v>63</v>
      </c>
      <c r="D90" s="75" t="s">
        <v>218</v>
      </c>
      <c r="E90" s="74" t="str">
        <f>HLOOKUP(B90,constants!B109:E110,2,FALSE)</f>
        <v>"10"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2</v>
      </c>
      <c r="I90" s="74">
        <v>16</v>
      </c>
      <c r="J90" s="74"/>
      <c r="K90" s="173"/>
    </row>
    <row r="91" spans="1:11" ht="18.75" x14ac:dyDescent="0.25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.75" x14ac:dyDescent="0.25">
      <c r="A92" s="157" t="s">
        <v>223</v>
      </c>
      <c r="B92" s="106" t="s">
        <v>5</v>
      </c>
      <c r="C92" s="85" t="s">
        <v>63</v>
      </c>
      <c r="D92" s="92" t="s">
        <v>222</v>
      </c>
      <c r="E92" s="74" t="str">
        <f>IF(B92=constants!B60,"'1'","'0'")</f>
        <v>'1'</v>
      </c>
      <c r="F92" s="158"/>
      <c r="G92" s="158"/>
      <c r="H92" s="127">
        <f>IF(B92=constants!B60,1,0)</f>
        <v>1</v>
      </c>
      <c r="I92" s="74">
        <v>8</v>
      </c>
      <c r="J92" s="74"/>
      <c r="K92" s="173"/>
    </row>
    <row r="93" spans="1:11" ht="30" customHeight="1" thickBot="1" x14ac:dyDescent="0.3">
      <c r="A93" s="93" t="s">
        <v>224</v>
      </c>
      <c r="B93" s="108">
        <v>2.4</v>
      </c>
      <c r="C93" s="94" t="s">
        <v>0</v>
      </c>
      <c r="D93" s="95" t="s">
        <v>227</v>
      </c>
      <c r="E93" s="77" t="str">
        <f>VLOOKUP(B93,constants!B114:C121,2,FALSE)</f>
        <v>"110"</v>
      </c>
      <c r="F93" s="71" t="str">
        <f>IF(B93&gt;=B15,messages!A58,messages!A77)</f>
        <v>OK</v>
      </c>
      <c r="G93" s="71"/>
      <c r="H93" s="130">
        <f>VLOOKUP(B93,constants!B114:D121,3,FALSE)</f>
        <v>6</v>
      </c>
      <c r="I93" s="77">
        <v>1</v>
      </c>
      <c r="J93" s="77"/>
      <c r="K93" s="173"/>
    </row>
    <row r="94" spans="1:11" s="62" customFormat="1" x14ac:dyDescent="0.25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.75" x14ac:dyDescent="0.25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.75" x14ac:dyDescent="0.25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.75" x14ac:dyDescent="0.25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25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25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25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25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25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25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25">
      <c r="A104" s="157" t="s">
        <v>264</v>
      </c>
      <c r="B104" s="106">
        <v>2</v>
      </c>
      <c r="C104" s="80" t="s">
        <v>0</v>
      </c>
      <c r="D104" s="75" t="s">
        <v>263</v>
      </c>
      <c r="E104" s="74" t="str">
        <f>VLOOKUP(B104,constants!B129:C136,2,FALSE)</f>
        <v>"100"</v>
      </c>
      <c r="F104" s="158" t="str">
        <f>IF(B104&gt;=B15,messages!A58,messages!A77)</f>
        <v>OK</v>
      </c>
      <c r="G104" s="158"/>
      <c r="H104" s="127">
        <f>VLOOKUP(B104,constants!B129:D136,3,FALSE)</f>
        <v>4</v>
      </c>
      <c r="I104" s="74">
        <v>16</v>
      </c>
      <c r="J104" s="74"/>
      <c r="K104" s="173"/>
    </row>
    <row r="105" spans="1:11" ht="18.75" x14ac:dyDescent="0.25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.75" x14ac:dyDescent="0.25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9.5" thickBot="1" x14ac:dyDescent="0.3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25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.75" x14ac:dyDescent="0.25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.75" x14ac:dyDescent="0.25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.75" x14ac:dyDescent="0.25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45" x14ac:dyDescent="0.25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45" x14ac:dyDescent="0.25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45" x14ac:dyDescent="0.25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.75" x14ac:dyDescent="0.25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.75" x14ac:dyDescent="0.25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9.5" thickBot="1" x14ac:dyDescent="0.3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4" collapsed="1" thickBot="1" x14ac:dyDescent="0.3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25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30" x14ac:dyDescent="0.25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.75" x14ac:dyDescent="0.25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.75" x14ac:dyDescent="0.25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.75" x14ac:dyDescent="0.25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25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30" x14ac:dyDescent="0.25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30" x14ac:dyDescent="0.25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4" thickBot="1" x14ac:dyDescent="0.3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25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.75" x14ac:dyDescent="0.25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.75" x14ac:dyDescent="0.25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.75" x14ac:dyDescent="0.25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.75" x14ac:dyDescent="0.25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.75" x14ac:dyDescent="0.25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.75" x14ac:dyDescent="0.25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.75" x14ac:dyDescent="0.25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.75" x14ac:dyDescent="0.25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.75" x14ac:dyDescent="0.25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.75" x14ac:dyDescent="0.25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.75" x14ac:dyDescent="0.25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.75" x14ac:dyDescent="0.25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.75" x14ac:dyDescent="0.25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.75" x14ac:dyDescent="0.25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.75" x14ac:dyDescent="0.25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.75" x14ac:dyDescent="0.25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.75" x14ac:dyDescent="0.25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.75" x14ac:dyDescent="0.25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.75" x14ac:dyDescent="0.25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.75" x14ac:dyDescent="0.25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.75" x14ac:dyDescent="0.25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.75" x14ac:dyDescent="0.25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.75" x14ac:dyDescent="0.25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.75" x14ac:dyDescent="0.25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.75" x14ac:dyDescent="0.25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.75" x14ac:dyDescent="0.25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9.5" thickBot="1" x14ac:dyDescent="0.3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25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66675</xdr:colOff>
                <xdr:row>1</xdr:row>
                <xdr:rowOff>85725</xdr:rowOff>
              </from>
              <to>
                <xdr:col>10</xdr:col>
                <xdr:colOff>3200400</xdr:colOff>
                <xdr:row>4</xdr:row>
                <xdr:rowOff>142875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topLeftCell="C1" zoomScale="115" zoomScaleNormal="130" zoomScaleSheetLayoutView="115" workbookViewId="0">
      <pane ySplit="2" topLeftCell="A3" activePane="bottomLeft" state="frozen"/>
      <selection activeCell="B148" sqref="B148"/>
      <selection pane="bottomLeft" activeCell="F21" sqref="F21"/>
    </sheetView>
  </sheetViews>
  <sheetFormatPr baseColWidth="10" defaultColWidth="27.7109375" defaultRowHeight="15" x14ac:dyDescent="0.25"/>
  <cols>
    <col min="1" max="1" width="32.28515625" style="3" customWidth="1"/>
    <col min="2" max="2" width="12.7109375" style="172" customWidth="1"/>
    <col min="3" max="3" width="25.85546875" style="3" customWidth="1"/>
    <col min="4" max="4" width="10.42578125" style="172" customWidth="1"/>
    <col min="5" max="5" width="27.7109375" style="3" hidden="1" customWidth="1"/>
    <col min="6" max="7" width="10.7109375" style="172" customWidth="1"/>
    <col min="8" max="8" width="27.7109375" style="2" hidden="1" customWidth="1"/>
    <col min="9" max="9" width="29.7109375" style="3" customWidth="1"/>
    <col min="10" max="11" width="27.7109375" style="3"/>
    <col min="12" max="15" width="27.7109375" style="19" hidden="1" customWidth="1"/>
    <col min="16" max="16384" width="27.7109375" style="19"/>
  </cols>
  <sheetData>
    <row r="1" spans="1:16" ht="46.5" x14ac:dyDescent="0.7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25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25">
      <c r="A3" s="151" t="s">
        <v>291</v>
      </c>
      <c r="B3" s="171" t="s">
        <v>292</v>
      </c>
      <c r="C3" s="6" t="s">
        <v>135</v>
      </c>
      <c r="D3" s="171" t="str">
        <f>settings!E31</f>
        <v>0x06</v>
      </c>
      <c r="E3" s="168"/>
      <c r="F3" s="159"/>
      <c r="G3" s="146" t="str">
        <f t="shared" ref="G3:G28" si="0">IF(F3="",D3,IF(HEX2DEC(F3)&lt;16,"0x0"&amp;F3,"0x"&amp;F3))</f>
        <v>0x06</v>
      </c>
      <c r="H3" s="150" t="str">
        <f>TEXT(HEX2BIN(MID(G3,3,2)),"00000000")</f>
        <v>00000110</v>
      </c>
      <c r="I3" s="241" t="str">
        <f>VLOOKUP(VALUE(MID(H3,6,3)),constants!A51:C58,3,FALSE)&amp;" ms"</f>
        <v>16384 ms</v>
      </c>
      <c r="J3" s="241"/>
      <c r="K3" s="242"/>
      <c r="L3" s="145"/>
      <c r="M3" s="145"/>
      <c r="N3" s="145"/>
      <c r="O3" s="145"/>
      <c r="P3" s="145"/>
    </row>
    <row r="4" spans="1:16" x14ac:dyDescent="0.25">
      <c r="A4" s="151" t="s">
        <v>293</v>
      </c>
      <c r="B4" s="171" t="s">
        <v>294</v>
      </c>
      <c r="C4" s="6" t="s">
        <v>127</v>
      </c>
      <c r="D4" s="171" t="str">
        <f>settings!E30</f>
        <v>0x07</v>
      </c>
      <c r="E4" s="168"/>
      <c r="F4" s="159"/>
      <c r="G4" s="146" t="str">
        <f t="shared" si="0"/>
        <v>0x07</v>
      </c>
      <c r="H4" s="150" t="str">
        <f t="shared" ref="H4:H28" si="1">TEXT(HEX2BIN(MID(G4,3,2)),"00000000")</f>
        <v>00000111</v>
      </c>
      <c r="I4" s="241" t="str">
        <f>VLOOKUP(VALUE(MID(H4,6,3)),constants!A51:B58,2,FALSE)&amp;" ms"</f>
        <v>2048 ms</v>
      </c>
      <c r="J4" s="241"/>
      <c r="K4" s="242"/>
      <c r="L4" s="145"/>
      <c r="M4" s="145"/>
      <c r="N4" s="145"/>
      <c r="O4" s="145"/>
      <c r="P4" s="145"/>
    </row>
    <row r="5" spans="1:16" x14ac:dyDescent="0.25">
      <c r="A5" s="151" t="s">
        <v>295</v>
      </c>
      <c r="B5" s="171" t="s">
        <v>296</v>
      </c>
      <c r="C5" s="6" t="s">
        <v>40</v>
      </c>
      <c r="D5" s="171" t="str">
        <f>settings!E62</f>
        <v>0x02</v>
      </c>
      <c r="E5" s="168"/>
      <c r="F5" s="159"/>
      <c r="G5" s="146" t="str">
        <f t="shared" si="0"/>
        <v>0x02</v>
      </c>
      <c r="H5" s="150" t="str">
        <f t="shared" si="1"/>
        <v>00000010</v>
      </c>
      <c r="I5" s="241" t="str">
        <f>VLOOKUP(BIN2DEC(MID(H5,6,3)),constants!A78:B85,2,FALSE)&amp;" ms"</f>
        <v>8 ms</v>
      </c>
      <c r="J5" s="241"/>
      <c r="K5" s="242"/>
      <c r="L5" s="145"/>
      <c r="M5" s="145"/>
      <c r="N5" s="145"/>
      <c r="O5" s="145"/>
      <c r="P5" s="145"/>
    </row>
    <row r="6" spans="1:16" x14ac:dyDescent="0.25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41" t="str">
        <f>VLOOKUP(BIN2DEC(MID(H6,6,3)),constants!A88:B95,2,FALSE)&amp;" ms"</f>
        <v>16384 ms</v>
      </c>
      <c r="J6" s="241"/>
      <c r="K6" s="242"/>
      <c r="L6" s="145"/>
      <c r="M6" s="145"/>
      <c r="N6" s="145"/>
      <c r="O6" s="145"/>
      <c r="P6" s="145"/>
    </row>
    <row r="7" spans="1:16" x14ac:dyDescent="0.25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0x43</v>
      </c>
      <c r="E7" s="168">
        <f>(PRODUCT(settings!H14:I14)+PRODUCT(settings!H18:I18))</f>
        <v>67</v>
      </c>
      <c r="F7" s="159"/>
      <c r="G7" s="146" t="str">
        <f t="shared" si="0"/>
        <v>0x43</v>
      </c>
      <c r="H7" s="150" t="str">
        <f t="shared" si="1"/>
        <v>01000011</v>
      </c>
      <c r="I7" s="168" t="str">
        <f>IF(MID(H7,2,1)="1",constants!B186,constants!B185)</f>
        <v>HRV check by Vopen-voltage</v>
      </c>
      <c r="J7" s="231" t="e">
        <f>"v_hrv_min: "&amp;TEXT((BIN2DEC(MID(H7,3,6))+1)*constants!C64,"0.000")&amp;" V (TYP)"</f>
        <v>#VALUE!</v>
      </c>
      <c r="K7" s="232"/>
      <c r="L7" s="145"/>
      <c r="M7" s="145"/>
      <c r="N7" s="145"/>
      <c r="O7" s="145"/>
      <c r="P7" s="145"/>
    </row>
    <row r="8" spans="1:16" x14ac:dyDescent="0.25">
      <c r="A8" s="151" t="s">
        <v>301</v>
      </c>
      <c r="B8" s="171" t="s">
        <v>302</v>
      </c>
      <c r="C8" s="6" t="s">
        <v>87</v>
      </c>
      <c r="D8" s="171" t="str">
        <f>settings!E24</f>
        <v>0x00</v>
      </c>
      <c r="E8" s="168"/>
      <c r="F8" s="159"/>
      <c r="G8" s="146" t="str">
        <f t="shared" si="0"/>
        <v>0x00</v>
      </c>
      <c r="H8" s="150" t="str">
        <f t="shared" si="1"/>
        <v>00000000</v>
      </c>
      <c r="I8" s="231" t="str">
        <f>(BIN2DEC(MID(H8,5,4))+1)&amp;" µA"</f>
        <v>1 µA</v>
      </c>
      <c r="J8" s="231"/>
      <c r="K8" s="232"/>
      <c r="L8" s="145"/>
      <c r="M8" s="145"/>
      <c r="N8" s="145"/>
      <c r="O8" s="145"/>
      <c r="P8" s="145"/>
    </row>
    <row r="9" spans="1:16" x14ac:dyDescent="0.25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25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38</v>
      </c>
      <c r="G10" s="146" t="str">
        <f t="shared" si="0"/>
        <v>0x38</v>
      </c>
      <c r="H10" s="150" t="str">
        <f t="shared" si="1"/>
        <v>00111000</v>
      </c>
      <c r="I10" s="231" t="e">
        <f>TEXT((BIN2DEC(MID(H10,3,6))+1)*constants!$C$64,"0.000")&amp;" V (TYP)"</f>
        <v>#VALUE!</v>
      </c>
      <c r="J10" s="231"/>
      <c r="K10" s="232"/>
      <c r="L10" s="145">
        <f t="shared" ref="L10:L16" si="2">BIN2DEC(H10)</f>
        <v>56</v>
      </c>
      <c r="M10" s="145"/>
      <c r="N10" s="145"/>
      <c r="O10" s="145"/>
      <c r="P10" s="145"/>
    </row>
    <row r="11" spans="1:16" x14ac:dyDescent="0.25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37</v>
      </c>
      <c r="G11" s="146" t="str">
        <f t="shared" si="0"/>
        <v>0x37</v>
      </c>
      <c r="H11" s="150" t="str">
        <f t="shared" si="1"/>
        <v>00110111</v>
      </c>
      <c r="I11" s="231" t="e">
        <f>TEXT((BIN2DEC(MID(H11,3,6))+1)*constants!$C$64,"0.000")&amp;" V (TYP)"</f>
        <v>#VALUE!</v>
      </c>
      <c r="J11" s="231"/>
      <c r="K11" s="232"/>
      <c r="L11" s="145">
        <f t="shared" si="2"/>
        <v>55</v>
      </c>
      <c r="M11" s="145"/>
      <c r="N11" s="145"/>
      <c r="O11" s="145"/>
      <c r="P11" s="145"/>
    </row>
    <row r="12" spans="1:16" x14ac:dyDescent="0.25">
      <c r="A12" s="151" t="s">
        <v>309</v>
      </c>
      <c r="B12" s="171" t="s">
        <v>310</v>
      </c>
      <c r="C12" s="6" t="s">
        <v>184</v>
      </c>
      <c r="D12" s="171" t="str">
        <f>settings!E66</f>
        <v>0x21</v>
      </c>
      <c r="E12" s="168"/>
      <c r="F12" s="159">
        <v>26</v>
      </c>
      <c r="G12" s="146" t="str">
        <f t="shared" si="0"/>
        <v>0x26</v>
      </c>
      <c r="H12" s="150" t="str">
        <f t="shared" si="1"/>
        <v>00100110</v>
      </c>
      <c r="I12" s="231" t="e">
        <f>TEXT((BIN2DEC(MID(H12,3,6))+1)*constants!$C$64,"0.000")&amp;" V (TYP)"</f>
        <v>#VALUE!</v>
      </c>
      <c r="J12" s="231"/>
      <c r="K12" s="232"/>
      <c r="L12" s="145">
        <f t="shared" si="2"/>
        <v>38</v>
      </c>
      <c r="M12" s="145"/>
      <c r="N12" s="145"/>
      <c r="O12" s="145"/>
      <c r="P12" s="145"/>
    </row>
    <row r="13" spans="1:16" x14ac:dyDescent="0.25">
      <c r="A13" s="151" t="s">
        <v>311</v>
      </c>
      <c r="B13" s="171" t="s">
        <v>312</v>
      </c>
      <c r="C13" s="6" t="s">
        <v>185</v>
      </c>
      <c r="D13" s="171" t="str">
        <f>settings!E67</f>
        <v>0x1D</v>
      </c>
      <c r="E13" s="168"/>
      <c r="F13" s="159" t="s">
        <v>697</v>
      </c>
      <c r="G13" s="146" t="str">
        <f t="shared" si="0"/>
        <v>0x1E</v>
      </c>
      <c r="H13" s="150" t="str">
        <f t="shared" si="1"/>
        <v>00011110</v>
      </c>
      <c r="I13" s="231" t="e">
        <f>TEXT((BIN2DEC(MID(H13,3,6))+1)*constants!$C$64,"0.000")&amp;" V (TYP)"</f>
        <v>#VALUE!</v>
      </c>
      <c r="J13" s="231"/>
      <c r="K13" s="232"/>
      <c r="L13" s="145">
        <f t="shared" si="2"/>
        <v>30</v>
      </c>
      <c r="M13" s="145"/>
      <c r="N13" s="145"/>
      <c r="O13" s="145"/>
      <c r="P13" s="145"/>
    </row>
    <row r="14" spans="1:16" x14ac:dyDescent="0.25">
      <c r="A14" s="151" t="s">
        <v>313</v>
      </c>
      <c r="B14" s="171" t="s">
        <v>314</v>
      </c>
      <c r="C14" s="6" t="s">
        <v>30</v>
      </c>
      <c r="D14" s="171" t="str">
        <f>settings!E43</f>
        <v>0x1C</v>
      </c>
      <c r="E14" s="168"/>
      <c r="F14" s="159" t="s">
        <v>698</v>
      </c>
      <c r="G14" s="146" t="str">
        <f t="shared" si="0"/>
        <v>0x1D</v>
      </c>
      <c r="H14" s="150" t="str">
        <f t="shared" si="1"/>
        <v>00011101</v>
      </c>
      <c r="I14" s="231" t="e">
        <f>TEXT((BIN2DEC(MID(H14,3,6))+1)*constants!$C$64,"0.000")&amp;" V (TYP)"</f>
        <v>#VALUE!</v>
      </c>
      <c r="J14" s="231"/>
      <c r="K14" s="232"/>
      <c r="L14" s="145">
        <f t="shared" si="2"/>
        <v>29</v>
      </c>
      <c r="M14" s="145"/>
      <c r="N14" s="145"/>
      <c r="O14" s="145"/>
      <c r="P14" s="145"/>
    </row>
    <row r="15" spans="1:16" x14ac:dyDescent="0.25">
      <c r="A15" s="151" t="s">
        <v>315</v>
      </c>
      <c r="B15" s="171" t="s">
        <v>316</v>
      </c>
      <c r="C15" s="6" t="s">
        <v>29</v>
      </c>
      <c r="D15" s="171" t="str">
        <f>settings!E42</f>
        <v>0x2E</v>
      </c>
      <c r="E15" s="168"/>
      <c r="F15" s="159" t="s">
        <v>695</v>
      </c>
      <c r="G15" s="146" t="str">
        <f t="shared" si="0"/>
        <v>0x2e</v>
      </c>
      <c r="H15" s="150" t="str">
        <f t="shared" si="1"/>
        <v>00101110</v>
      </c>
      <c r="I15" s="231" t="e">
        <f>TEXT((BIN2DEC(MID(H15,3,6))+1)*constants!$C$64,"0.000")&amp;" V (TYP)"</f>
        <v>#VALUE!</v>
      </c>
      <c r="J15" s="231"/>
      <c r="K15" s="232"/>
      <c r="L15" s="145">
        <f t="shared" si="2"/>
        <v>46</v>
      </c>
      <c r="M15" s="145"/>
      <c r="N15" s="145"/>
      <c r="O15" s="145"/>
      <c r="P15" s="145"/>
    </row>
    <row r="16" spans="1:16" x14ac:dyDescent="0.25">
      <c r="A16" s="151" t="s">
        <v>317</v>
      </c>
      <c r="B16" s="171" t="s">
        <v>318</v>
      </c>
      <c r="C16" s="6" t="s">
        <v>186</v>
      </c>
      <c r="D16" s="171" t="str">
        <f>settings!E73</f>
        <v>0x28</v>
      </c>
      <c r="E16" s="168"/>
      <c r="F16" s="159" t="s">
        <v>696</v>
      </c>
      <c r="G16" s="146" t="str">
        <f t="shared" si="0"/>
        <v>0x2D</v>
      </c>
      <c r="H16" s="150" t="str">
        <f t="shared" si="1"/>
        <v>00101101</v>
      </c>
      <c r="I16" s="231" t="e">
        <f>TEXT((BIN2DEC(MID(H16,3,6))+1)*constants!$C$64,"0.000")&amp;" V (TYP)"</f>
        <v>#VALUE!</v>
      </c>
      <c r="J16" s="231"/>
      <c r="K16" s="232"/>
      <c r="L16" s="145">
        <f t="shared" si="2"/>
        <v>45</v>
      </c>
      <c r="M16" s="145"/>
      <c r="N16" s="145"/>
      <c r="O16" s="145"/>
      <c r="P16" s="145"/>
    </row>
    <row r="17" spans="1:19" x14ac:dyDescent="0.25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0xCE</v>
      </c>
      <c r="E17" s="168">
        <f>PRODUCT(settings!H83:I83)+PRODUCT(settings!H92:I92)+PRODUCT(settings!H93:I93)+PRODUCT(settings!H104:I104)</f>
        <v>206</v>
      </c>
      <c r="F17" s="159"/>
      <c r="G17" s="146" t="str">
        <f t="shared" si="0"/>
        <v>0xCE</v>
      </c>
      <c r="H17" s="150" t="str">
        <f t="shared" si="1"/>
        <v>11001110</v>
      </c>
      <c r="I17" s="168" t="str">
        <f>"VAUX LDO: "&amp;VLOOKUP(VALUE(MID($H$17,2,3)),constants!$A$129:$B$136,2,FALSE)&amp;" V"</f>
        <v>VAUX LDO: 2 V</v>
      </c>
      <c r="J17" s="231" t="str">
        <f>"ULP LDO: "&amp;VLOOKUP(VALUE(MID($H$17,6,3)),constants!$A$114:$B$121,2,FALSE)&amp;" V"</f>
        <v>ULP LDO: 2,4 V</v>
      </c>
      <c r="K17" s="232"/>
      <c r="L17" s="145"/>
      <c r="M17" s="145"/>
      <c r="N17" s="145"/>
    </row>
    <row r="18" spans="1:19" x14ac:dyDescent="0.25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45"/>
      <c r="J18" s="245"/>
      <c r="K18" s="246"/>
    </row>
    <row r="19" spans="1:19" x14ac:dyDescent="0.25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25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25">
      <c r="A21" s="151" t="s">
        <v>327</v>
      </c>
      <c r="B21" s="171" t="s">
        <v>328</v>
      </c>
      <c r="C21" s="6" t="s">
        <v>426</v>
      </c>
      <c r="D21" s="171" t="str">
        <f>settings!E11</f>
        <v>0x0C</v>
      </c>
      <c r="E21" s="168"/>
      <c r="F21" s="159"/>
      <c r="G21" s="146" t="str">
        <f t="shared" si="0"/>
        <v>0x0C</v>
      </c>
      <c r="H21" s="150" t="str">
        <f t="shared" si="1"/>
        <v>00001100</v>
      </c>
      <c r="I21" s="239" t="str">
        <f>TEXT(HLOOKUP(VALUE(MID(H21,5,4)),constants!B5:Q6,2,FALSE),"0%")</f>
        <v>88%</v>
      </c>
      <c r="J21" s="239"/>
      <c r="K21" s="240"/>
      <c r="L21" s="147"/>
      <c r="M21" s="147"/>
      <c r="N21" s="147"/>
      <c r="O21" s="147"/>
      <c r="P21" s="147"/>
    </row>
    <row r="22" spans="1:19" x14ac:dyDescent="0.25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0x61</v>
      </c>
      <c r="E22" s="168">
        <f>PRODUCT(settings!H90:I90)+PRODUCT(settings!H91:I91)+PRODUCT(settings!H121:I121)+PRODUCT(settings!H122:I122)+PRODUCT(settings!H123:I123)+PRODUCT(settings!H125:I125)</f>
        <v>97</v>
      </c>
      <c r="F22" s="159"/>
      <c r="G22" s="146" t="str">
        <f t="shared" si="0"/>
        <v>0x61</v>
      </c>
      <c r="H22" s="150" t="str">
        <f t="shared" si="1"/>
        <v>01100001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25">
      <c r="A23" s="151" t="s">
        <v>331</v>
      </c>
      <c r="B23" s="171" t="s">
        <v>332</v>
      </c>
      <c r="C23" s="6" t="s">
        <v>207</v>
      </c>
      <c r="D23" s="171" t="str">
        <f>settings!E89</f>
        <v>0x64</v>
      </c>
      <c r="E23" s="168"/>
      <c r="F23" s="159"/>
      <c r="G23" s="146" t="str">
        <f t="shared" si="0"/>
        <v>0x64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25">
      <c r="A24" s="151" t="s">
        <v>333</v>
      </c>
      <c r="B24" s="171" t="s">
        <v>334</v>
      </c>
      <c r="C24" s="6" t="s">
        <v>206</v>
      </c>
      <c r="D24" s="171" t="str">
        <f>settings!E88</f>
        <v>0x00</v>
      </c>
      <c r="E24" s="168"/>
      <c r="F24" s="159"/>
      <c r="G24" s="146" t="str">
        <f t="shared" si="0"/>
        <v>0x00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25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0:0:0:100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0</v>
      </c>
      <c r="N25" s="145">
        <f>TRUNC((HEX2DEC(MID(G25,3,2))*256*256+HEX2DEC(MID(G24,3,2))*256+HEX2DEC(MID(G23,3,2)))/(1000)-L25*3600-M25*60,0)</f>
        <v>0</v>
      </c>
      <c r="O25" s="145">
        <f>(HEX2DEC(MID(G25,3,2))*256*256+HEX2DEC(MID(G24,3,2))*256+HEX2DEC(MID(G23,3,2)))-N25*1000-M25*1000*60-L25*1000*60*60</f>
        <v>100</v>
      </c>
      <c r="P25" s="145"/>
      <c r="Q25" s="145"/>
      <c r="R25" s="145"/>
      <c r="S25" s="145"/>
    </row>
    <row r="26" spans="1:19" x14ac:dyDescent="0.25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0x37</v>
      </c>
      <c r="E26" s="168">
        <f>PRODUCT(settings!H80:I80)+PRODUCT(settings!H33:I33)</f>
        <v>55</v>
      </c>
      <c r="F26" s="159"/>
      <c r="G26" s="146" t="str">
        <f t="shared" si="0"/>
        <v>0x37</v>
      </c>
      <c r="H26" s="150" t="str">
        <f t="shared" si="1"/>
        <v>00110111</v>
      </c>
      <c r="I26" s="168" t="str">
        <f>"t_hrv_low_period: "&amp;VLOOKUP(VALUE(MID(H26,2,3)),constants!A51:C58,3,FALSE)&amp;" ms"</f>
        <v>t_hrv_low_period: 2048 ms</v>
      </c>
      <c r="J26" s="231" t="str">
        <f>"t_lts_hrv_low_period: "&amp;VLOOKUP(BIN2DEC(MID(H26,6,3)),constants!A98:B105,2,FALSE)&amp;" ms"</f>
        <v>t_lts_hrv_low_period: 32768 ms</v>
      </c>
      <c r="K26" s="232"/>
      <c r="L26" s="145"/>
      <c r="M26" s="145"/>
      <c r="N26" s="145"/>
      <c r="O26" s="145"/>
      <c r="P26" s="145"/>
    </row>
    <row r="27" spans="1:19" x14ac:dyDescent="0.25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25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0x01</v>
      </c>
      <c r="E28" s="168">
        <f>PRODUCT(settings!H84:I84)+PRODUCT(settings!H98:I98)+PRODUCT(settings!H99:I99)+PRODUCT(settings!H100:I100)+PRODUCT(settings!H109:I109)+PRODUCT(settings!H110:I110)+PRODUCT(settings!H111:I111)</f>
        <v>1</v>
      </c>
      <c r="F28" s="159"/>
      <c r="G28" s="146" t="str">
        <f t="shared" si="0"/>
        <v>0x01</v>
      </c>
      <c r="H28" s="150" t="str">
        <f t="shared" si="1"/>
        <v>00000001</v>
      </c>
      <c r="I28" s="229"/>
      <c r="J28" s="229"/>
      <c r="K28" s="230"/>
    </row>
    <row r="29" spans="1:19" x14ac:dyDescent="0.25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25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25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25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25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25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25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25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25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25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25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25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25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25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25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25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25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25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25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25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25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25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25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25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25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25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25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25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25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25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25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25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25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25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25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25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25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.75" thickBot="1" x14ac:dyDescent="0.3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25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19050</xdr:colOff>
                <xdr:row>0</xdr:row>
                <xdr:rowOff>38100</xdr:rowOff>
              </from>
              <to>
                <xdr:col>10</xdr:col>
                <xdr:colOff>1809750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7109375" defaultRowHeight="15" x14ac:dyDescent="0.25"/>
  <cols>
    <col min="1" max="1" width="36.42578125" style="3" bestFit="1" customWidth="1"/>
    <col min="2" max="4" width="27.7109375" style="49"/>
    <col min="5" max="5" width="27.7109375" style="19"/>
    <col min="6" max="7" width="27.7109375" style="49"/>
    <col min="8" max="9" width="27.7109375" style="19"/>
    <col min="10" max="16384" width="27.7109375" style="3"/>
  </cols>
  <sheetData>
    <row r="1" spans="1:17" x14ac:dyDescent="0.25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25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25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25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>"0x0"&amp;DEC2HEX(O3)</f>
        <v>0x0D</v>
      </c>
      <c r="P4" s="8" t="str">
        <f>"0x0"&amp;DEC2HEX(P3)</f>
        <v>0x0E</v>
      </c>
      <c r="Q4" s="8" t="str">
        <f>"0x0"&amp;DEC2HEX(Q3)</f>
        <v>0x0F</v>
      </c>
    </row>
    <row r="5" spans="1:17" x14ac:dyDescent="0.25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25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25">
      <c r="B7" s="140"/>
      <c r="C7" s="140"/>
      <c r="D7" s="140"/>
      <c r="E7" s="3"/>
      <c r="F7" s="140"/>
      <c r="G7" s="140"/>
      <c r="H7" s="3"/>
      <c r="I7" s="3"/>
    </row>
    <row r="8" spans="1:17" x14ac:dyDescent="0.25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25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25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25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25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25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25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25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25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25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25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25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25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25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25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25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25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25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25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25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25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25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25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25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25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25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25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25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25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25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25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25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25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25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25">
      <c r="A42" s="34" t="s">
        <v>132</v>
      </c>
      <c r="B42" s="33">
        <v>1</v>
      </c>
      <c r="C42" s="33">
        <f>B42+1</f>
        <v>2</v>
      </c>
      <c r="D42" s="33">
        <f t="shared" ref="D42:Q42" si="2">C42+1</f>
        <v>3</v>
      </c>
      <c r="E42" s="33">
        <f t="shared" si="2"/>
        <v>4</v>
      </c>
      <c r="F42" s="33">
        <f t="shared" si="2"/>
        <v>5</v>
      </c>
      <c r="G42" s="33">
        <f t="shared" si="2"/>
        <v>6</v>
      </c>
      <c r="H42" s="33">
        <f t="shared" si="2"/>
        <v>7</v>
      </c>
      <c r="I42" s="33">
        <f t="shared" si="2"/>
        <v>8</v>
      </c>
      <c r="J42" s="33">
        <f t="shared" si="2"/>
        <v>9</v>
      </c>
      <c r="K42" s="33">
        <f t="shared" si="2"/>
        <v>10</v>
      </c>
      <c r="L42" s="33">
        <f t="shared" si="2"/>
        <v>11</v>
      </c>
      <c r="M42" s="33">
        <f t="shared" si="2"/>
        <v>12</v>
      </c>
      <c r="N42" s="33">
        <f t="shared" si="2"/>
        <v>13</v>
      </c>
      <c r="O42" s="33">
        <f t="shared" si="2"/>
        <v>14</v>
      </c>
      <c r="P42" s="33">
        <f t="shared" si="2"/>
        <v>15</v>
      </c>
      <c r="Q42" s="33">
        <f t="shared" si="2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25">
      <c r="A43" s="34" t="s">
        <v>87</v>
      </c>
      <c r="B43" s="33" t="str">
        <f>"0x0"&amp;DEC2HEX(B42-1)</f>
        <v>0x00</v>
      </c>
      <c r="C43" s="33" t="str">
        <f t="shared" ref="C43:Q43" si="3">"0x0"&amp;DEC2HEX(C42-1)</f>
        <v>0x01</v>
      </c>
      <c r="D43" s="33" t="str">
        <f t="shared" si="3"/>
        <v>0x02</v>
      </c>
      <c r="E43" s="33" t="str">
        <f t="shared" si="3"/>
        <v>0x03</v>
      </c>
      <c r="F43" s="33" t="str">
        <f t="shared" si="3"/>
        <v>0x04</v>
      </c>
      <c r="G43" s="33" t="str">
        <f t="shared" si="3"/>
        <v>0x05</v>
      </c>
      <c r="H43" s="33" t="str">
        <f t="shared" si="3"/>
        <v>0x06</v>
      </c>
      <c r="I43" s="33" t="str">
        <f t="shared" si="3"/>
        <v>0x07</v>
      </c>
      <c r="J43" s="33" t="str">
        <f t="shared" si="3"/>
        <v>0x08</v>
      </c>
      <c r="K43" s="33" t="str">
        <f t="shared" si="3"/>
        <v>0x09</v>
      </c>
      <c r="L43" s="33" t="str">
        <f t="shared" si="3"/>
        <v>0x0A</v>
      </c>
      <c r="M43" s="33" t="str">
        <f t="shared" si="3"/>
        <v>0x0B</v>
      </c>
      <c r="N43" s="33" t="str">
        <f t="shared" si="3"/>
        <v>0x0C</v>
      </c>
      <c r="O43" s="33" t="str">
        <f t="shared" si="3"/>
        <v>0x0D</v>
      </c>
      <c r="P43" s="33" t="str">
        <f t="shared" si="3"/>
        <v>0x0E</v>
      </c>
      <c r="Q43" s="33" t="str">
        <f t="shared" si="3"/>
        <v>0x0F</v>
      </c>
    </row>
    <row r="44" spans="1:26" x14ac:dyDescent="0.25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25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25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25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75" x14ac:dyDescent="0.25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5.5" x14ac:dyDescent="0.25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5.5" x14ac:dyDescent="0.25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25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25">
      <c r="A52" s="40">
        <v>1</v>
      </c>
      <c r="B52" s="40">
        <f t="shared" ref="B52:C58" si="4">B51*2</f>
        <v>32</v>
      </c>
      <c r="C52" s="40">
        <f t="shared" si="4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25">
      <c r="A53" s="40">
        <v>10</v>
      </c>
      <c r="B53" s="40">
        <f t="shared" si="4"/>
        <v>64</v>
      </c>
      <c r="C53" s="40">
        <f t="shared" si="4"/>
        <v>1024</v>
      </c>
      <c r="D53" s="40" t="s">
        <v>92</v>
      </c>
      <c r="E53" s="8" t="s">
        <v>145</v>
      </c>
      <c r="F53" s="139">
        <f t="shared" ref="F53:F58" si="5">F52+1</f>
        <v>2</v>
      </c>
      <c r="G53" s="140"/>
      <c r="H53" s="3"/>
      <c r="I53" s="3"/>
      <c r="K53" s="15"/>
    </row>
    <row r="54" spans="1:11" x14ac:dyDescent="0.25">
      <c r="A54" s="40">
        <v>11</v>
      </c>
      <c r="B54" s="40">
        <f t="shared" si="4"/>
        <v>128</v>
      </c>
      <c r="C54" s="40">
        <f t="shared" si="4"/>
        <v>2048</v>
      </c>
      <c r="D54" s="40" t="s">
        <v>89</v>
      </c>
      <c r="E54" s="8" t="s">
        <v>146</v>
      </c>
      <c r="F54" s="139">
        <f t="shared" si="5"/>
        <v>3</v>
      </c>
      <c r="G54" s="140"/>
      <c r="H54" s="3"/>
      <c r="I54" s="3"/>
      <c r="K54" s="15"/>
    </row>
    <row r="55" spans="1:11" x14ac:dyDescent="0.25">
      <c r="A55" s="40">
        <v>100</v>
      </c>
      <c r="B55" s="40">
        <f t="shared" si="4"/>
        <v>256</v>
      </c>
      <c r="C55" s="40">
        <f t="shared" si="4"/>
        <v>4096</v>
      </c>
      <c r="D55" s="40" t="s">
        <v>95</v>
      </c>
      <c r="E55" s="8" t="s">
        <v>147</v>
      </c>
      <c r="F55" s="139">
        <f t="shared" si="5"/>
        <v>4</v>
      </c>
      <c r="G55" s="140"/>
      <c r="H55" s="3"/>
      <c r="I55" s="3"/>
      <c r="K55" s="15"/>
    </row>
    <row r="56" spans="1:11" x14ac:dyDescent="0.25">
      <c r="A56" s="40">
        <v>101</v>
      </c>
      <c r="B56" s="40">
        <f t="shared" si="4"/>
        <v>512</v>
      </c>
      <c r="C56" s="40">
        <f t="shared" si="4"/>
        <v>8192</v>
      </c>
      <c r="D56" s="40" t="s">
        <v>93</v>
      </c>
      <c r="E56" s="8" t="s">
        <v>148</v>
      </c>
      <c r="F56" s="139">
        <f t="shared" si="5"/>
        <v>5</v>
      </c>
      <c r="G56" s="140"/>
      <c r="H56" s="3"/>
      <c r="I56" s="3"/>
      <c r="K56" s="15"/>
    </row>
    <row r="57" spans="1:11" x14ac:dyDescent="0.25">
      <c r="A57" s="40">
        <v>110</v>
      </c>
      <c r="B57" s="40">
        <f t="shared" si="4"/>
        <v>1024</v>
      </c>
      <c r="C57" s="40">
        <f t="shared" si="4"/>
        <v>16384</v>
      </c>
      <c r="D57" s="40" t="s">
        <v>128</v>
      </c>
      <c r="E57" s="8" t="s">
        <v>149</v>
      </c>
      <c r="F57" s="139">
        <f t="shared" si="5"/>
        <v>6</v>
      </c>
      <c r="G57" s="140"/>
      <c r="H57" s="3"/>
      <c r="I57" s="3"/>
      <c r="K57" s="15"/>
    </row>
    <row r="58" spans="1:11" x14ac:dyDescent="0.25">
      <c r="A58" s="40">
        <v>111</v>
      </c>
      <c r="B58" s="40">
        <f t="shared" si="4"/>
        <v>2048</v>
      </c>
      <c r="C58" s="40">
        <f t="shared" si="4"/>
        <v>32768</v>
      </c>
      <c r="D58" s="40" t="s">
        <v>90</v>
      </c>
      <c r="E58" s="8" t="s">
        <v>150</v>
      </c>
      <c r="F58" s="139">
        <f t="shared" si="5"/>
        <v>7</v>
      </c>
      <c r="G58" s="140"/>
      <c r="H58" s="3"/>
      <c r="I58" s="3"/>
      <c r="K58" s="15"/>
    </row>
    <row r="59" spans="1:11" x14ac:dyDescent="0.25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25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25">
      <c r="B61" s="10"/>
      <c r="C61" s="10"/>
      <c r="D61" s="10"/>
      <c r="E61" s="3"/>
      <c r="F61" s="140"/>
      <c r="G61" s="140"/>
      <c r="H61" s="3"/>
      <c r="I61" s="3"/>
    </row>
    <row r="62" spans="1:11" x14ac:dyDescent="0.25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25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25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25">
      <c r="B65" s="10"/>
      <c r="C65" s="10"/>
      <c r="D65" s="10"/>
      <c r="E65" s="3"/>
      <c r="F65" s="140"/>
      <c r="G65" s="140"/>
      <c r="H65" s="3"/>
      <c r="I65" s="3"/>
    </row>
    <row r="66" spans="1:9" x14ac:dyDescent="0.25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25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25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25">
      <c r="B69" s="10"/>
      <c r="C69" s="10"/>
      <c r="D69" s="10"/>
      <c r="E69" s="3"/>
      <c r="F69" s="140"/>
      <c r="G69" s="140"/>
      <c r="H69" s="3"/>
      <c r="I69" s="3"/>
    </row>
    <row r="70" spans="1:9" x14ac:dyDescent="0.25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25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25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25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25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25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25">
      <c r="B76" s="10"/>
      <c r="C76" s="10"/>
      <c r="D76" s="10"/>
      <c r="E76" s="3"/>
      <c r="F76" s="140"/>
      <c r="G76" s="140"/>
      <c r="H76" s="3"/>
      <c r="I76" s="3"/>
    </row>
    <row r="77" spans="1:9" x14ac:dyDescent="0.25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25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25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25">
      <c r="A80" s="43">
        <v>2</v>
      </c>
      <c r="B80" s="8">
        <v>8</v>
      </c>
      <c r="C80" s="8" t="s">
        <v>39</v>
      </c>
      <c r="D80" s="44">
        <f t="shared" ref="D80:E85" si="6">D79+1</f>
        <v>2</v>
      </c>
      <c r="E80" s="5">
        <f t="shared" si="6"/>
        <v>2</v>
      </c>
      <c r="F80" s="140"/>
      <c r="G80" s="140"/>
      <c r="H80" s="3"/>
      <c r="I80" s="3"/>
    </row>
    <row r="81" spans="1:9" x14ac:dyDescent="0.25">
      <c r="A81" s="43">
        <v>3</v>
      </c>
      <c r="B81" s="8">
        <v>16</v>
      </c>
      <c r="C81" s="8" t="s">
        <v>39</v>
      </c>
      <c r="D81" s="44">
        <f t="shared" si="6"/>
        <v>3</v>
      </c>
      <c r="E81" s="5">
        <f t="shared" si="6"/>
        <v>3</v>
      </c>
      <c r="F81" s="140"/>
      <c r="G81" s="140"/>
      <c r="H81" s="3"/>
      <c r="I81" s="3"/>
    </row>
    <row r="82" spans="1:9" x14ac:dyDescent="0.25">
      <c r="A82" s="43">
        <v>4</v>
      </c>
      <c r="B82" s="8">
        <v>32</v>
      </c>
      <c r="C82" s="8" t="s">
        <v>39</v>
      </c>
      <c r="D82" s="44">
        <f t="shared" si="6"/>
        <v>4</v>
      </c>
      <c r="E82" s="5">
        <f t="shared" si="6"/>
        <v>4</v>
      </c>
      <c r="F82" s="140"/>
      <c r="G82" s="140"/>
      <c r="H82" s="3"/>
      <c r="I82" s="3"/>
    </row>
    <row r="83" spans="1:9" x14ac:dyDescent="0.25">
      <c r="A83" s="43">
        <v>5</v>
      </c>
      <c r="B83" s="8">
        <v>64</v>
      </c>
      <c r="C83" s="8" t="s">
        <v>39</v>
      </c>
      <c r="D83" s="44">
        <f t="shared" si="6"/>
        <v>5</v>
      </c>
      <c r="E83" s="5">
        <f t="shared" si="6"/>
        <v>5</v>
      </c>
      <c r="F83" s="140"/>
      <c r="G83" s="140"/>
      <c r="H83" s="3"/>
      <c r="I83" s="3"/>
    </row>
    <row r="84" spans="1:9" x14ac:dyDescent="0.25">
      <c r="A84" s="43">
        <v>6</v>
      </c>
      <c r="B84" s="8">
        <v>128</v>
      </c>
      <c r="C84" s="8" t="s">
        <v>39</v>
      </c>
      <c r="D84" s="44">
        <f t="shared" si="6"/>
        <v>6</v>
      </c>
      <c r="E84" s="5">
        <f t="shared" si="6"/>
        <v>6</v>
      </c>
      <c r="F84" s="140"/>
      <c r="G84" s="140"/>
      <c r="H84" s="3"/>
      <c r="I84" s="3"/>
    </row>
    <row r="85" spans="1:9" x14ac:dyDescent="0.25">
      <c r="A85" s="43">
        <v>7</v>
      </c>
      <c r="B85" s="8">
        <v>256</v>
      </c>
      <c r="C85" s="8" t="s">
        <v>39</v>
      </c>
      <c r="D85" s="44">
        <f t="shared" si="6"/>
        <v>7</v>
      </c>
      <c r="E85" s="5">
        <f t="shared" si="6"/>
        <v>7</v>
      </c>
      <c r="F85" s="140"/>
      <c r="G85" s="140"/>
      <c r="H85" s="3"/>
      <c r="I85" s="3"/>
    </row>
    <row r="86" spans="1:9" x14ac:dyDescent="0.25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25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25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25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25">
      <c r="A90" s="46">
        <v>2</v>
      </c>
      <c r="B90" s="8">
        <v>16</v>
      </c>
      <c r="C90" s="8" t="s">
        <v>39</v>
      </c>
      <c r="D90" s="44">
        <f t="shared" ref="D90:E95" si="7">D89+1</f>
        <v>2</v>
      </c>
      <c r="E90" s="5">
        <f t="shared" si="7"/>
        <v>2</v>
      </c>
      <c r="F90" s="140"/>
      <c r="G90" s="140"/>
      <c r="H90" s="3"/>
      <c r="I90" s="3"/>
    </row>
    <row r="91" spans="1:9" x14ac:dyDescent="0.25">
      <c r="A91" s="46">
        <v>3</v>
      </c>
      <c r="B91" s="8">
        <v>64</v>
      </c>
      <c r="C91" s="8" t="s">
        <v>39</v>
      </c>
      <c r="D91" s="44">
        <f t="shared" si="7"/>
        <v>3</v>
      </c>
      <c r="E91" s="5">
        <f t="shared" si="7"/>
        <v>3</v>
      </c>
      <c r="F91" s="140"/>
      <c r="G91" s="140"/>
      <c r="H91" s="3"/>
      <c r="I91" s="3"/>
    </row>
    <row r="92" spans="1:9" x14ac:dyDescent="0.25">
      <c r="A92" s="46">
        <v>4</v>
      </c>
      <c r="B92" s="8">
        <v>256</v>
      </c>
      <c r="C92" s="8" t="s">
        <v>39</v>
      </c>
      <c r="D92" s="44">
        <f t="shared" si="7"/>
        <v>4</v>
      </c>
      <c r="E92" s="5">
        <f t="shared" si="7"/>
        <v>4</v>
      </c>
      <c r="F92" s="140"/>
      <c r="G92" s="140"/>
      <c r="H92" s="3"/>
      <c r="I92" s="3"/>
    </row>
    <row r="93" spans="1:9" x14ac:dyDescent="0.25">
      <c r="A93" s="46">
        <v>5</v>
      </c>
      <c r="B93" s="8">
        <v>1024</v>
      </c>
      <c r="C93" s="8" t="s">
        <v>39</v>
      </c>
      <c r="D93" s="44">
        <f t="shared" si="7"/>
        <v>5</v>
      </c>
      <c r="E93" s="5">
        <f t="shared" si="7"/>
        <v>5</v>
      </c>
      <c r="F93" s="140"/>
      <c r="G93" s="140"/>
      <c r="H93" s="3"/>
      <c r="I93" s="3"/>
    </row>
    <row r="94" spans="1:9" x14ac:dyDescent="0.25">
      <c r="A94" s="46">
        <v>6</v>
      </c>
      <c r="B94" s="8">
        <v>4096</v>
      </c>
      <c r="C94" s="8" t="s">
        <v>39</v>
      </c>
      <c r="D94" s="44">
        <f t="shared" si="7"/>
        <v>6</v>
      </c>
      <c r="E94" s="5">
        <f t="shared" si="7"/>
        <v>6</v>
      </c>
      <c r="F94" s="140"/>
      <c r="G94" s="140"/>
      <c r="H94" s="3"/>
      <c r="I94" s="3"/>
    </row>
    <row r="95" spans="1:9" x14ac:dyDescent="0.25">
      <c r="A95" s="46">
        <v>7</v>
      </c>
      <c r="B95" s="8">
        <v>16384</v>
      </c>
      <c r="C95" s="8" t="s">
        <v>39</v>
      </c>
      <c r="D95" s="44">
        <f t="shared" si="7"/>
        <v>7</v>
      </c>
      <c r="E95" s="5">
        <f t="shared" si="7"/>
        <v>7</v>
      </c>
      <c r="F95" s="140"/>
      <c r="G95" s="140"/>
      <c r="H95" s="3"/>
      <c r="I95" s="3"/>
    </row>
    <row r="96" spans="1:9" x14ac:dyDescent="0.25">
      <c r="B96" s="10"/>
      <c r="C96" s="10"/>
      <c r="D96" s="10"/>
      <c r="E96" s="3"/>
      <c r="F96" s="140"/>
      <c r="G96" s="140"/>
      <c r="H96" s="3"/>
      <c r="I96" s="3"/>
    </row>
    <row r="97" spans="1:9" x14ac:dyDescent="0.25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25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25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25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8">E99+1</f>
        <v>2</v>
      </c>
      <c r="F100" s="140"/>
      <c r="G100" s="140"/>
      <c r="H100" s="3"/>
      <c r="I100" s="3"/>
    </row>
    <row r="101" spans="1:9" x14ac:dyDescent="0.25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8"/>
        <v>3</v>
      </c>
      <c r="F101" s="140"/>
      <c r="G101" s="140"/>
      <c r="H101" s="3"/>
      <c r="I101" s="3"/>
    </row>
    <row r="102" spans="1:9" x14ac:dyDescent="0.25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8"/>
        <v>4</v>
      </c>
      <c r="F102" s="140"/>
      <c r="G102" s="140"/>
      <c r="H102" s="3"/>
      <c r="I102" s="3"/>
    </row>
    <row r="103" spans="1:9" x14ac:dyDescent="0.25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8"/>
        <v>5</v>
      </c>
      <c r="F103" s="140"/>
      <c r="G103" s="140"/>
      <c r="H103" s="3"/>
      <c r="I103" s="3"/>
    </row>
    <row r="104" spans="1:9" x14ac:dyDescent="0.25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8"/>
        <v>6</v>
      </c>
      <c r="F104" s="140"/>
      <c r="G104" s="140"/>
      <c r="H104" s="3"/>
      <c r="I104" s="3"/>
    </row>
    <row r="105" spans="1:9" x14ac:dyDescent="0.25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8"/>
        <v>7</v>
      </c>
      <c r="F105" s="140"/>
      <c r="G105" s="140"/>
      <c r="H105" s="3"/>
      <c r="I105" s="3"/>
    </row>
    <row r="106" spans="1:9" x14ac:dyDescent="0.25">
      <c r="B106" s="10"/>
      <c r="C106" s="10"/>
      <c r="D106" s="10"/>
      <c r="E106" s="3"/>
      <c r="F106" s="140"/>
      <c r="G106" s="140"/>
      <c r="H106" s="3"/>
      <c r="I106" s="3"/>
    </row>
    <row r="107" spans="1:9" x14ac:dyDescent="0.25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25">
      <c r="B108" s="10"/>
      <c r="C108" s="10"/>
      <c r="D108" s="10"/>
      <c r="E108" s="3"/>
      <c r="F108" s="140"/>
      <c r="G108" s="140"/>
      <c r="H108" s="3"/>
      <c r="I108" s="3"/>
    </row>
    <row r="109" spans="1:9" x14ac:dyDescent="0.25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25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25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25">
      <c r="B112" s="10"/>
      <c r="C112" s="10"/>
      <c r="D112" s="10"/>
      <c r="E112" s="3"/>
      <c r="F112" s="140"/>
      <c r="G112" s="140"/>
      <c r="H112" s="3"/>
      <c r="I112" s="3"/>
    </row>
    <row r="113" spans="1:9" x14ac:dyDescent="0.25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25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25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25">
      <c r="A116" s="40">
        <v>10</v>
      </c>
      <c r="B116" s="40">
        <v>1.65</v>
      </c>
      <c r="C116" s="8" t="s">
        <v>145</v>
      </c>
      <c r="D116" s="8">
        <f t="shared" ref="D116:D121" si="9">D115+1</f>
        <v>2</v>
      </c>
      <c r="E116" s="3"/>
      <c r="F116" s="140"/>
      <c r="G116" s="140"/>
      <c r="H116" s="3"/>
      <c r="I116" s="3"/>
    </row>
    <row r="117" spans="1:9" x14ac:dyDescent="0.25">
      <c r="A117" s="40">
        <v>11</v>
      </c>
      <c r="B117" s="40">
        <v>1.8</v>
      </c>
      <c r="C117" s="8" t="s">
        <v>146</v>
      </c>
      <c r="D117" s="8">
        <f t="shared" si="9"/>
        <v>3</v>
      </c>
      <c r="E117" s="3"/>
      <c r="F117" s="140"/>
      <c r="G117" s="140"/>
      <c r="H117" s="3"/>
      <c r="I117" s="3"/>
    </row>
    <row r="118" spans="1:9" x14ac:dyDescent="0.25">
      <c r="A118" s="40">
        <v>100</v>
      </c>
      <c r="B118" s="40">
        <v>2</v>
      </c>
      <c r="C118" s="8" t="s">
        <v>147</v>
      </c>
      <c r="D118" s="8">
        <f t="shared" si="9"/>
        <v>4</v>
      </c>
      <c r="E118" s="3"/>
      <c r="F118" s="140"/>
      <c r="G118" s="140"/>
      <c r="H118" s="3"/>
      <c r="I118" s="3"/>
    </row>
    <row r="119" spans="1:9" x14ac:dyDescent="0.25">
      <c r="A119" s="40">
        <v>101</v>
      </c>
      <c r="B119" s="40">
        <v>2.2000000000000002</v>
      </c>
      <c r="C119" s="8" t="s">
        <v>148</v>
      </c>
      <c r="D119" s="8">
        <f t="shared" si="9"/>
        <v>5</v>
      </c>
      <c r="E119" s="3"/>
      <c r="F119" s="140"/>
      <c r="G119" s="140"/>
      <c r="H119" s="3"/>
      <c r="I119" s="3"/>
    </row>
    <row r="120" spans="1:9" x14ac:dyDescent="0.25">
      <c r="A120" s="40">
        <v>110</v>
      </c>
      <c r="B120" s="40">
        <v>2.4</v>
      </c>
      <c r="C120" s="8" t="s">
        <v>149</v>
      </c>
      <c r="D120" s="8">
        <f t="shared" si="9"/>
        <v>6</v>
      </c>
      <c r="E120" s="3"/>
      <c r="F120" s="140"/>
      <c r="G120" s="140"/>
      <c r="H120" s="3"/>
      <c r="I120" s="3"/>
    </row>
    <row r="121" spans="1:9" x14ac:dyDescent="0.25">
      <c r="A121" s="40">
        <v>111</v>
      </c>
      <c r="B121" s="40">
        <v>2.6</v>
      </c>
      <c r="C121" s="8" t="s">
        <v>150</v>
      </c>
      <c r="D121" s="8">
        <f t="shared" si="9"/>
        <v>7</v>
      </c>
      <c r="E121" s="3"/>
      <c r="F121" s="140"/>
      <c r="G121" s="140"/>
      <c r="H121" s="3"/>
      <c r="I121" s="3"/>
    </row>
    <row r="122" spans="1:9" x14ac:dyDescent="0.25">
      <c r="B122" s="10"/>
      <c r="C122" s="10"/>
      <c r="D122" s="10"/>
      <c r="E122" s="3"/>
      <c r="F122" s="140"/>
      <c r="G122" s="140"/>
      <c r="H122" s="3"/>
      <c r="I122" s="3"/>
    </row>
    <row r="123" spans="1:9" x14ac:dyDescent="0.25">
      <c r="B123" s="10"/>
      <c r="C123" s="10"/>
      <c r="D123" s="10"/>
      <c r="E123" s="3"/>
      <c r="F123" s="140"/>
      <c r="G123" s="140"/>
      <c r="H123" s="3"/>
      <c r="I123" s="3"/>
    </row>
    <row r="124" spans="1:9" x14ac:dyDescent="0.25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25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25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25">
      <c r="B127" s="10"/>
      <c r="C127" s="10"/>
      <c r="D127" s="10"/>
      <c r="E127" s="3"/>
      <c r="F127" s="140"/>
      <c r="G127" s="140"/>
      <c r="H127" s="3"/>
      <c r="I127" s="3"/>
    </row>
    <row r="128" spans="1:9" x14ac:dyDescent="0.25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25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25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25">
      <c r="A131" s="40">
        <v>10</v>
      </c>
      <c r="B131" s="40">
        <v>1.65</v>
      </c>
      <c r="C131" s="8" t="s">
        <v>145</v>
      </c>
      <c r="D131" s="8">
        <f t="shared" ref="D131:D136" si="10">D130+1</f>
        <v>2</v>
      </c>
      <c r="E131" s="3"/>
      <c r="F131" s="140"/>
      <c r="G131" s="140"/>
      <c r="H131" s="3"/>
      <c r="I131" s="3"/>
    </row>
    <row r="132" spans="1:9" x14ac:dyDescent="0.25">
      <c r="A132" s="40">
        <v>11</v>
      </c>
      <c r="B132" s="40">
        <v>1.8</v>
      </c>
      <c r="C132" s="8" t="s">
        <v>146</v>
      </c>
      <c r="D132" s="8">
        <f t="shared" si="10"/>
        <v>3</v>
      </c>
      <c r="E132" s="3"/>
      <c r="F132" s="140"/>
      <c r="G132" s="140"/>
      <c r="H132" s="3"/>
      <c r="I132" s="3"/>
    </row>
    <row r="133" spans="1:9" x14ac:dyDescent="0.25">
      <c r="A133" s="40">
        <v>100</v>
      </c>
      <c r="B133" s="40">
        <v>2</v>
      </c>
      <c r="C133" s="8" t="s">
        <v>147</v>
      </c>
      <c r="D133" s="8">
        <f t="shared" si="10"/>
        <v>4</v>
      </c>
      <c r="E133" s="3"/>
      <c r="F133" s="140"/>
      <c r="G133" s="140"/>
      <c r="H133" s="3"/>
      <c r="I133" s="3"/>
    </row>
    <row r="134" spans="1:9" x14ac:dyDescent="0.25">
      <c r="A134" s="40">
        <v>101</v>
      </c>
      <c r="B134" s="40">
        <v>2.2000000000000002</v>
      </c>
      <c r="C134" s="8" t="s">
        <v>148</v>
      </c>
      <c r="D134" s="8">
        <f t="shared" si="10"/>
        <v>5</v>
      </c>
      <c r="E134" s="3"/>
      <c r="F134" s="140"/>
      <c r="G134" s="140"/>
      <c r="H134" s="3"/>
      <c r="I134" s="3"/>
    </row>
    <row r="135" spans="1:9" x14ac:dyDescent="0.25">
      <c r="A135" s="40">
        <v>110</v>
      </c>
      <c r="B135" s="40">
        <v>2.4</v>
      </c>
      <c r="C135" s="8" t="s">
        <v>149</v>
      </c>
      <c r="D135" s="8">
        <f t="shared" si="10"/>
        <v>6</v>
      </c>
      <c r="E135" s="3"/>
      <c r="F135" s="140"/>
      <c r="G135" s="140"/>
      <c r="H135" s="3"/>
      <c r="I135" s="3"/>
    </row>
    <row r="136" spans="1:9" x14ac:dyDescent="0.25">
      <c r="A136" s="40">
        <v>111</v>
      </c>
      <c r="B136" s="40">
        <v>2.6</v>
      </c>
      <c r="C136" s="8" t="s">
        <v>150</v>
      </c>
      <c r="D136" s="8">
        <f t="shared" si="10"/>
        <v>7</v>
      </c>
      <c r="E136" s="3"/>
      <c r="F136" s="140"/>
      <c r="G136" s="140"/>
      <c r="H136" s="3"/>
      <c r="I136" s="3"/>
    </row>
    <row r="137" spans="1:9" x14ac:dyDescent="0.25">
      <c r="B137" s="10"/>
      <c r="C137" s="10"/>
      <c r="D137" s="10"/>
      <c r="E137" s="3"/>
      <c r="F137" s="140"/>
      <c r="G137" s="140"/>
      <c r="H137" s="3"/>
      <c r="I137" s="3"/>
    </row>
    <row r="138" spans="1:9" x14ac:dyDescent="0.25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25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25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25">
      <c r="B141" s="10"/>
      <c r="C141" s="10"/>
      <c r="D141" s="10"/>
      <c r="E141" s="3"/>
      <c r="F141" s="140"/>
      <c r="G141" s="140"/>
      <c r="H141" s="3"/>
      <c r="I141" s="3"/>
    </row>
    <row r="142" spans="1:9" x14ac:dyDescent="0.25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25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25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25">
      <c r="B145" s="10"/>
      <c r="C145" s="10"/>
      <c r="D145" s="10"/>
      <c r="E145" s="3"/>
      <c r="F145" s="140"/>
      <c r="G145" s="140"/>
      <c r="H145" s="3"/>
      <c r="I145" s="3"/>
    </row>
    <row r="146" spans="1:9" x14ac:dyDescent="0.25">
      <c r="B146" s="10"/>
      <c r="C146" s="10"/>
      <c r="D146" s="10"/>
      <c r="E146" s="3"/>
      <c r="F146" s="140"/>
      <c r="G146" s="140"/>
      <c r="H146" s="3"/>
      <c r="I146" s="3"/>
    </row>
    <row r="147" spans="1:9" x14ac:dyDescent="0.25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25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25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25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25">
      <c r="B151" s="10"/>
      <c r="C151" s="10"/>
      <c r="D151" s="10"/>
      <c r="E151" s="3"/>
      <c r="F151" s="140"/>
      <c r="G151" s="140"/>
      <c r="H151" s="3"/>
      <c r="I151" s="3"/>
    </row>
    <row r="152" spans="1:9" x14ac:dyDescent="0.25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25">
      <c r="B153" s="10"/>
      <c r="C153" s="10"/>
      <c r="D153" s="10"/>
      <c r="E153" s="3"/>
      <c r="F153" s="140"/>
      <c r="G153" s="140"/>
      <c r="H153" s="3"/>
      <c r="I153" s="3"/>
    </row>
    <row r="154" spans="1:9" x14ac:dyDescent="0.25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25">
      <c r="B155" s="10"/>
      <c r="C155" s="10"/>
      <c r="D155" s="10"/>
      <c r="E155" s="3"/>
      <c r="F155" s="140"/>
      <c r="G155" s="140"/>
      <c r="H155" s="3"/>
      <c r="I155" s="3"/>
    </row>
    <row r="156" spans="1:9" x14ac:dyDescent="0.25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25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25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25">
      <c r="B159" s="10"/>
      <c r="C159" s="10"/>
      <c r="D159" s="10"/>
      <c r="E159" s="3"/>
      <c r="F159" s="140"/>
      <c r="G159" s="140"/>
      <c r="H159" s="3"/>
      <c r="I159" s="3"/>
    </row>
    <row r="160" spans="1:9" x14ac:dyDescent="0.25">
      <c r="B160" s="10"/>
      <c r="C160" s="10"/>
      <c r="D160" s="10"/>
      <c r="E160" s="3"/>
      <c r="F160" s="140"/>
      <c r="G160" s="140"/>
      <c r="H160" s="3"/>
      <c r="I160" s="3"/>
    </row>
    <row r="161" spans="1:9" x14ac:dyDescent="0.25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25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25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25">
      <c r="B165" s="49" t="s">
        <v>607</v>
      </c>
    </row>
    <row r="166" spans="1:9" x14ac:dyDescent="0.25">
      <c r="A166" s="142" t="s">
        <v>613</v>
      </c>
      <c r="B166" s="49" t="s">
        <v>617</v>
      </c>
    </row>
    <row r="167" spans="1:9" x14ac:dyDescent="0.25">
      <c r="A167" s="142" t="s">
        <v>614</v>
      </c>
      <c r="B167" s="49" t="s">
        <v>618</v>
      </c>
    </row>
    <row r="168" spans="1:9" x14ac:dyDescent="0.25">
      <c r="A168" s="142" t="s">
        <v>615</v>
      </c>
      <c r="B168" s="49" t="s">
        <v>619</v>
      </c>
    </row>
    <row r="169" spans="1:9" x14ac:dyDescent="0.25">
      <c r="A169" s="142" t="s">
        <v>616</v>
      </c>
      <c r="B169" s="49" t="s">
        <v>620</v>
      </c>
    </row>
    <row r="171" spans="1:9" x14ac:dyDescent="0.25">
      <c r="B171" s="49" t="s">
        <v>608</v>
      </c>
    </row>
    <row r="172" spans="1:9" x14ac:dyDescent="0.25">
      <c r="A172" s="142" t="s">
        <v>613</v>
      </c>
      <c r="B172" s="49" t="s">
        <v>625</v>
      </c>
    </row>
    <row r="173" spans="1:9" x14ac:dyDescent="0.25">
      <c r="A173" s="142" t="s">
        <v>614</v>
      </c>
      <c r="B173" s="49" t="s">
        <v>626</v>
      </c>
    </row>
    <row r="174" spans="1:9" x14ac:dyDescent="0.25">
      <c r="A174" s="142" t="s">
        <v>615</v>
      </c>
      <c r="B174" s="49" t="s">
        <v>627</v>
      </c>
    </row>
    <row r="175" spans="1:9" x14ac:dyDescent="0.25">
      <c r="A175" s="142" t="s">
        <v>616</v>
      </c>
      <c r="B175" s="49" t="s">
        <v>628</v>
      </c>
    </row>
    <row r="177" spans="1:9" x14ac:dyDescent="0.25">
      <c r="A177" s="3">
        <v>1</v>
      </c>
      <c r="B177" s="49" t="s">
        <v>630</v>
      </c>
    </row>
    <row r="178" spans="1:9" x14ac:dyDescent="0.25">
      <c r="A178" s="3">
        <v>0</v>
      </c>
      <c r="B178" s="49" t="s">
        <v>631</v>
      </c>
    </row>
    <row r="180" spans="1:9" x14ac:dyDescent="0.25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25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25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8" x14ac:dyDescent="0.35">
      <c r="A185" s="3">
        <v>1</v>
      </c>
      <c r="B185" s="49" t="s">
        <v>656</v>
      </c>
    </row>
    <row r="186" spans="1:9" ht="18" x14ac:dyDescent="0.35">
      <c r="A186" s="3">
        <v>0</v>
      </c>
      <c r="B186" s="49" t="s">
        <v>657</v>
      </c>
    </row>
    <row r="189" spans="1:9" x14ac:dyDescent="0.25">
      <c r="B189" s="140" t="s">
        <v>572</v>
      </c>
      <c r="C189" s="140" t="s">
        <v>573</v>
      </c>
      <c r="D189" s="140" t="s">
        <v>574</v>
      </c>
      <c r="E189" s="3"/>
    </row>
    <row r="190" spans="1:9" x14ac:dyDescent="0.25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25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25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25">
      <c r="A195" s="3">
        <v>0</v>
      </c>
      <c r="B195" s="49" t="s">
        <v>664</v>
      </c>
      <c r="C195" s="49" t="s">
        <v>666</v>
      </c>
    </row>
    <row r="196" spans="1:9" x14ac:dyDescent="0.25">
      <c r="A196" s="3">
        <v>1</v>
      </c>
      <c r="B196" s="49" t="s">
        <v>665</v>
      </c>
      <c r="C196" s="49" t="s">
        <v>667</v>
      </c>
    </row>
    <row r="198" spans="1:9" x14ac:dyDescent="0.25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40625" defaultRowHeight="15" x14ac:dyDescent="0.25"/>
  <cols>
    <col min="1" max="16384" width="9.140625" style="3"/>
  </cols>
  <sheetData>
    <row r="1" spans="1:1" x14ac:dyDescent="0.25">
      <c r="A1" s="50" t="s">
        <v>22</v>
      </c>
    </row>
    <row r="2" spans="1:1" x14ac:dyDescent="0.25">
      <c r="A2" s="50" t="s">
        <v>23</v>
      </c>
    </row>
    <row r="3" spans="1:1" s="51" customFormat="1" x14ac:dyDescent="0.25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25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25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25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25">
      <c r="A7" s="51" t="s">
        <v>103</v>
      </c>
    </row>
    <row r="8" spans="1:1" s="51" customFormat="1" x14ac:dyDescent="0.25">
      <c r="A8" s="51" t="s">
        <v>120</v>
      </c>
    </row>
    <row r="9" spans="1:1" s="51" customFormat="1" x14ac:dyDescent="0.25">
      <c r="A9" s="51" t="s">
        <v>134</v>
      </c>
    </row>
    <row r="10" spans="1:1" s="51" customFormat="1" x14ac:dyDescent="0.25">
      <c r="A10" s="51" t="s">
        <v>136</v>
      </c>
    </row>
    <row r="11" spans="1:1" s="51" customFormat="1" x14ac:dyDescent="0.25">
      <c r="A11" s="51" t="str">
        <f>"ERROR: Effective t_hrv_meas shorter than "&amp;settings!B29&amp;" ms"</f>
        <v>ERROR: Effective t_hrv_meas shorter than 5 ms</v>
      </c>
    </row>
    <row r="12" spans="1:1" s="51" customFormat="1" x14ac:dyDescent="0.25">
      <c r="A12" s="51" t="s">
        <v>139</v>
      </c>
    </row>
    <row r="13" spans="1:1" s="51" customFormat="1" x14ac:dyDescent="0.25">
      <c r="A13" s="51" t="str">
        <f>"ERROR: v_bat_max_hi is set higher than "&amp;constants!$D$67&amp;"V"</f>
        <v>ERROR: v_bat_max_hi is set higher than 4.2V</v>
      </c>
    </row>
    <row r="14" spans="1:1" s="51" customFormat="1" x14ac:dyDescent="0.25">
      <c r="A14" s="51" t="s">
        <v>104</v>
      </c>
    </row>
    <row r="15" spans="1:1" s="51" customFormat="1" x14ac:dyDescent="0.25">
      <c r="A15" s="51" t="str">
        <f>"ERROR: v_apl_max_hi is set higher than "&amp;constants!$D$67&amp;"V"</f>
        <v>ERROR: v_apl_max_hi is set higher than 4.2V</v>
      </c>
    </row>
    <row r="16" spans="1:1" s="51" customFormat="1" x14ac:dyDescent="0.25">
      <c r="A16" s="51" t="str">
        <f>"ERROR: v_bat_min_lo is set lower than "&amp;constants!B68&amp;"V"</f>
        <v>ERROR: v_bat_min_lo is set lower than 1.47V</v>
      </c>
    </row>
    <row r="17" spans="1:1" s="51" customFormat="1" x14ac:dyDescent="0.25">
      <c r="A17" s="51" t="s">
        <v>105</v>
      </c>
    </row>
    <row r="18" spans="1:1" s="51" customFormat="1" x14ac:dyDescent="0.25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25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25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25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25">
      <c r="A22" s="51" t="s">
        <v>106</v>
      </c>
    </row>
    <row r="23" spans="1:1" s="51" customFormat="1" x14ac:dyDescent="0.25">
      <c r="A23" s="51" t="s">
        <v>107</v>
      </c>
    </row>
    <row r="24" spans="1:1" s="51" customFormat="1" x14ac:dyDescent="0.25">
      <c r="A24" s="51" t="s">
        <v>108</v>
      </c>
    </row>
    <row r="25" spans="1:1" s="51" customFormat="1" x14ac:dyDescent="0.25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25">
      <c r="A26" s="51" t="s">
        <v>109</v>
      </c>
    </row>
    <row r="27" spans="1:1" s="51" customFormat="1" x14ac:dyDescent="0.25">
      <c r="A27" s="51" t="s">
        <v>679</v>
      </c>
    </row>
    <row r="28" spans="1:1" s="51" customFormat="1" x14ac:dyDescent="0.25">
      <c r="A28" s="51" t="s">
        <v>110</v>
      </c>
    </row>
    <row r="29" spans="1:1" s="51" customFormat="1" x14ac:dyDescent="0.25">
      <c r="A29" s="51" t="s">
        <v>673</v>
      </c>
    </row>
    <row r="30" spans="1:1" s="51" customFormat="1" x14ac:dyDescent="0.25">
      <c r="A30" s="51" t="s">
        <v>561</v>
      </c>
    </row>
    <row r="31" spans="1:1" s="51" customFormat="1" x14ac:dyDescent="0.25">
      <c r="A31" s="51" t="s">
        <v>111</v>
      </c>
    </row>
    <row r="32" spans="1:1" s="51" customFormat="1" x14ac:dyDescent="0.25">
      <c r="A32" s="51" t="s">
        <v>567</v>
      </c>
    </row>
    <row r="33" spans="1:1" s="51" customFormat="1" x14ac:dyDescent="0.25">
      <c r="A33" s="51" t="s">
        <v>678</v>
      </c>
    </row>
    <row r="34" spans="1:1" s="51" customFormat="1" x14ac:dyDescent="0.25">
      <c r="A34" s="51" t="s">
        <v>677</v>
      </c>
    </row>
    <row r="35" spans="1:1" s="51" customFormat="1" x14ac:dyDescent="0.25">
      <c r="A35" s="51" t="s">
        <v>112</v>
      </c>
    </row>
    <row r="36" spans="1:1" s="51" customFormat="1" x14ac:dyDescent="0.25">
      <c r="A36" s="51" t="s">
        <v>203</v>
      </c>
    </row>
    <row r="37" spans="1:1" s="51" customFormat="1" x14ac:dyDescent="0.25">
      <c r="A37" s="51" t="s">
        <v>204</v>
      </c>
    </row>
    <row r="38" spans="1:1" s="51" customFormat="1" x14ac:dyDescent="0.25">
      <c r="A38" s="51" t="s">
        <v>475</v>
      </c>
    </row>
    <row r="39" spans="1:1" s="51" customFormat="1" x14ac:dyDescent="0.25">
      <c r="A39" s="51" t="s">
        <v>683</v>
      </c>
    </row>
    <row r="40" spans="1:1" s="51" customFormat="1" x14ac:dyDescent="0.25">
      <c r="A40" s="51" t="s">
        <v>555</v>
      </c>
    </row>
    <row r="41" spans="1:1" x14ac:dyDescent="0.25">
      <c r="A41" s="50" t="s">
        <v>688</v>
      </c>
    </row>
    <row r="42" spans="1:1" s="51" customFormat="1" x14ac:dyDescent="0.25">
      <c r="A42" s="183" t="s">
        <v>689</v>
      </c>
    </row>
    <row r="43" spans="1:1" s="51" customFormat="1" x14ac:dyDescent="0.25">
      <c r="A43" s="183" t="s">
        <v>690</v>
      </c>
    </row>
    <row r="44" spans="1:1" s="51" customFormat="1" x14ac:dyDescent="0.25">
      <c r="A44" s="183" t="s">
        <v>691</v>
      </c>
    </row>
    <row r="45" spans="1:1" s="51" customFormat="1" x14ac:dyDescent="0.25">
      <c r="A45" s="183" t="s">
        <v>692</v>
      </c>
    </row>
    <row r="46" spans="1:1" s="51" customFormat="1" x14ac:dyDescent="0.25">
      <c r="A46" s="183" t="s">
        <v>693</v>
      </c>
    </row>
    <row r="47" spans="1:1" s="51" customFormat="1" x14ac:dyDescent="0.25">
      <c r="A47" s="183" t="s">
        <v>687</v>
      </c>
    </row>
    <row r="48" spans="1:1" x14ac:dyDescent="0.25">
      <c r="A48" s="50" t="s">
        <v>24</v>
      </c>
    </row>
    <row r="49" spans="1:1" s="52" customFormat="1" x14ac:dyDescent="0.25">
      <c r="A49" s="52" t="s">
        <v>61</v>
      </c>
    </row>
    <row r="50" spans="1:1" s="52" customFormat="1" x14ac:dyDescent="0.25">
      <c r="A50" s="52" t="s">
        <v>62</v>
      </c>
    </row>
    <row r="51" spans="1:1" s="52" customFormat="1" x14ac:dyDescent="0.25">
      <c r="A51" s="52" t="s">
        <v>72</v>
      </c>
    </row>
    <row r="52" spans="1:1" s="52" customFormat="1" x14ac:dyDescent="0.25">
      <c r="A52" s="52" t="s">
        <v>73</v>
      </c>
    </row>
    <row r="53" spans="1:1" s="52" customFormat="1" x14ac:dyDescent="0.25">
      <c r="A53" s="52" t="s">
        <v>140</v>
      </c>
    </row>
    <row r="54" spans="1:1" s="52" customFormat="1" x14ac:dyDescent="0.25">
      <c r="A54" s="52" t="s">
        <v>550</v>
      </c>
    </row>
    <row r="55" spans="1:1" s="52" customFormat="1" x14ac:dyDescent="0.25">
      <c r="A55" s="52" t="s">
        <v>157</v>
      </c>
    </row>
    <row r="56" spans="1:1" s="52" customFormat="1" x14ac:dyDescent="0.25">
      <c r="A56" s="52" t="s">
        <v>113</v>
      </c>
    </row>
    <row r="57" spans="1:1" s="52" customFormat="1" x14ac:dyDescent="0.25">
      <c r="A57" s="52" t="s">
        <v>684</v>
      </c>
    </row>
    <row r="58" spans="1:1" s="52" customFormat="1" x14ac:dyDescent="0.25">
      <c r="A58" s="52" t="s">
        <v>269</v>
      </c>
    </row>
    <row r="59" spans="1:1" s="52" customFormat="1" x14ac:dyDescent="0.25">
      <c r="A59" s="52" t="s">
        <v>253</v>
      </c>
    </row>
    <row r="60" spans="1:1" s="52" customFormat="1" x14ac:dyDescent="0.25">
      <c r="A60" s="52" t="s">
        <v>254</v>
      </c>
    </row>
    <row r="61" spans="1:1" s="52" customFormat="1" x14ac:dyDescent="0.25">
      <c r="A61" s="52" t="s">
        <v>255</v>
      </c>
    </row>
    <row r="62" spans="1:1" s="52" customFormat="1" x14ac:dyDescent="0.25">
      <c r="A62" s="52" t="s">
        <v>268</v>
      </c>
    </row>
    <row r="63" spans="1:1" s="52" customFormat="1" x14ac:dyDescent="0.25">
      <c r="A63" s="52" t="s">
        <v>670</v>
      </c>
    </row>
    <row r="64" spans="1:1" s="52" customFormat="1" x14ac:dyDescent="0.25">
      <c r="A64" s="160" t="s">
        <v>671</v>
      </c>
    </row>
    <row r="65" spans="1:1" s="52" customFormat="1" x14ac:dyDescent="0.25">
      <c r="A65" s="52" t="s">
        <v>556</v>
      </c>
    </row>
    <row r="66" spans="1:1" x14ac:dyDescent="0.25">
      <c r="A66" s="50" t="s">
        <v>25</v>
      </c>
    </row>
    <row r="67" spans="1:1" x14ac:dyDescent="0.25">
      <c r="A67" s="3" t="s">
        <v>191</v>
      </c>
    </row>
    <row r="68" spans="1:1" x14ac:dyDescent="0.25">
      <c r="A68" s="3" t="s">
        <v>51</v>
      </c>
    </row>
    <row r="69" spans="1:1" x14ac:dyDescent="0.25">
      <c r="A69" s="3" t="s">
        <v>52</v>
      </c>
    </row>
    <row r="70" spans="1:1" x14ac:dyDescent="0.25">
      <c r="A70" s="3" t="s">
        <v>545</v>
      </c>
    </row>
    <row r="71" spans="1:1" x14ac:dyDescent="0.25">
      <c r="A71" s="3" t="s">
        <v>548</v>
      </c>
    </row>
    <row r="72" spans="1:1" x14ac:dyDescent="0.25">
      <c r="A72" s="3" t="s">
        <v>547</v>
      </c>
    </row>
    <row r="73" spans="1:1" x14ac:dyDescent="0.25">
      <c r="A73" s="3" t="s">
        <v>546</v>
      </c>
    </row>
    <row r="74" spans="1:1" x14ac:dyDescent="0.25">
      <c r="A74" s="3" t="s">
        <v>554</v>
      </c>
    </row>
    <row r="76" spans="1:1" x14ac:dyDescent="0.25">
      <c r="A76" s="50" t="s">
        <v>27</v>
      </c>
    </row>
    <row r="77" spans="1:1" s="53" customFormat="1" x14ac:dyDescent="0.25">
      <c r="A77" s="53" t="s">
        <v>26</v>
      </c>
    </row>
    <row r="78" spans="1:1" s="53" customFormat="1" x14ac:dyDescent="0.25">
      <c r="A78" s="53" t="s">
        <v>557</v>
      </c>
    </row>
    <row r="79" spans="1:1" s="53" customFormat="1" x14ac:dyDescent="0.25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40625" defaultRowHeight="15" x14ac:dyDescent="0.25"/>
  <cols>
    <col min="1" max="16384" width="9.140625" style="3"/>
  </cols>
  <sheetData>
    <row r="1" spans="1:2" x14ac:dyDescent="0.25">
      <c r="A1" s="3" t="str">
        <f>'register map'!B3</f>
        <v>0x40</v>
      </c>
      <c r="B1" s="3" t="str">
        <f>'register map'!G3</f>
        <v>0x06</v>
      </c>
    </row>
    <row r="2" spans="1:2" x14ac:dyDescent="0.25">
      <c r="A2" s="3" t="str">
        <f>'register map'!B4</f>
        <v>0x41</v>
      </c>
      <c r="B2" s="3" t="str">
        <f>'register map'!G4</f>
        <v>0x07</v>
      </c>
    </row>
    <row r="3" spans="1:2" x14ac:dyDescent="0.25">
      <c r="A3" s="3" t="str">
        <f>'register map'!B5</f>
        <v>0x42</v>
      </c>
      <c r="B3" s="3" t="str">
        <f>'register map'!G5</f>
        <v>0x02</v>
      </c>
    </row>
    <row r="4" spans="1:2" x14ac:dyDescent="0.25">
      <c r="A4" s="3" t="str">
        <f>'register map'!B6</f>
        <v>0x43</v>
      </c>
      <c r="B4" s="3" t="str">
        <f>'register map'!G6</f>
        <v>0x07</v>
      </c>
    </row>
    <row r="5" spans="1:2" x14ac:dyDescent="0.25">
      <c r="A5" s="3" t="str">
        <f>'register map'!B7</f>
        <v>0x44</v>
      </c>
      <c r="B5" s="3" t="str">
        <f>'register map'!G7</f>
        <v>0x43</v>
      </c>
    </row>
    <row r="6" spans="1:2" x14ac:dyDescent="0.25">
      <c r="A6" s="3" t="str">
        <f>'register map'!B8</f>
        <v>0x45</v>
      </c>
      <c r="B6" s="3" t="str">
        <f>'register map'!G8</f>
        <v>0x00</v>
      </c>
    </row>
    <row r="7" spans="1:2" x14ac:dyDescent="0.25">
      <c r="A7" s="3" t="str">
        <f>'register map'!B9</f>
        <v>0x46</v>
      </c>
      <c r="B7" s="3" t="str">
        <f>'register map'!G9</f>
        <v>0x00</v>
      </c>
    </row>
    <row r="8" spans="1:2" x14ac:dyDescent="0.25">
      <c r="A8" s="3" t="str">
        <f>'register map'!B10</f>
        <v>0x47</v>
      </c>
      <c r="B8" s="3" t="str">
        <f>'register map'!G10</f>
        <v>0x38</v>
      </c>
    </row>
    <row r="9" spans="1:2" x14ac:dyDescent="0.25">
      <c r="A9" s="3" t="str">
        <f>'register map'!B11</f>
        <v>0x48</v>
      </c>
      <c r="B9" s="3" t="str">
        <f>'register map'!G11</f>
        <v>0x37</v>
      </c>
    </row>
    <row r="10" spans="1:2" x14ac:dyDescent="0.25">
      <c r="A10" s="3" t="str">
        <f>'register map'!B12</f>
        <v>0x49</v>
      </c>
      <c r="B10" s="3" t="str">
        <f>'register map'!G12</f>
        <v>0x26</v>
      </c>
    </row>
    <row r="11" spans="1:2" x14ac:dyDescent="0.25">
      <c r="A11" s="3" t="str">
        <f>'register map'!B13</f>
        <v>0x4A</v>
      </c>
      <c r="B11" s="3" t="str">
        <f>'register map'!G13</f>
        <v>0x1E</v>
      </c>
    </row>
    <row r="12" spans="1:2" x14ac:dyDescent="0.25">
      <c r="A12" s="3" t="str">
        <f>'register map'!B14</f>
        <v>0x4B</v>
      </c>
      <c r="B12" s="3" t="str">
        <f>'register map'!G14</f>
        <v>0x1D</v>
      </c>
    </row>
    <row r="13" spans="1:2" x14ac:dyDescent="0.25">
      <c r="A13" s="3" t="str">
        <f>'register map'!B15</f>
        <v>0x4C</v>
      </c>
      <c r="B13" s="3" t="str">
        <f>'register map'!G15</f>
        <v>0x2e</v>
      </c>
    </row>
    <row r="14" spans="1:2" x14ac:dyDescent="0.25">
      <c r="A14" s="3" t="str">
        <f>'register map'!B16</f>
        <v>0x4D</v>
      </c>
      <c r="B14" s="3" t="str">
        <f>'register map'!G16</f>
        <v>0x2D</v>
      </c>
    </row>
    <row r="15" spans="1:2" x14ac:dyDescent="0.25">
      <c r="A15" s="3" t="str">
        <f>'register map'!B17</f>
        <v>0x4E</v>
      </c>
      <c r="B15" s="3" t="str">
        <f>'register map'!G17</f>
        <v>0xCE</v>
      </c>
    </row>
    <row r="16" spans="1:2" x14ac:dyDescent="0.25">
      <c r="A16" s="3" t="str">
        <f>'register map'!B18</f>
        <v>0x4F</v>
      </c>
      <c r="B16" s="3" t="str">
        <f>'register map'!G18</f>
        <v>0x00</v>
      </c>
    </row>
    <row r="17" spans="1:2" x14ac:dyDescent="0.25">
      <c r="A17" s="3" t="str">
        <f>'register map'!B19</f>
        <v>0x50</v>
      </c>
      <c r="B17" s="3" t="str">
        <f>'register map'!G19</f>
        <v>0x00</v>
      </c>
    </row>
    <row r="18" spans="1:2" x14ac:dyDescent="0.25">
      <c r="A18" s="3" t="str">
        <f>'register map'!B20</f>
        <v>0x51</v>
      </c>
      <c r="B18" s="3" t="str">
        <f>'register map'!G20</f>
        <v>0x00</v>
      </c>
    </row>
    <row r="19" spans="1:2" x14ac:dyDescent="0.25">
      <c r="A19" s="3" t="str">
        <f>'register map'!B21</f>
        <v>0x52</v>
      </c>
      <c r="B19" s="3" t="str">
        <f>'register map'!G21</f>
        <v>0x0C</v>
      </c>
    </row>
    <row r="20" spans="1:2" x14ac:dyDescent="0.25">
      <c r="A20" s="3" t="str">
        <f>'register map'!B22</f>
        <v>0x53</v>
      </c>
      <c r="B20" s="3" t="str">
        <f>'register map'!G22</f>
        <v>0x61</v>
      </c>
    </row>
    <row r="21" spans="1:2" x14ac:dyDescent="0.25">
      <c r="A21" s="3" t="str">
        <f>'register map'!B23</f>
        <v>0x54</v>
      </c>
      <c r="B21" s="3" t="str">
        <f>'register map'!G23</f>
        <v>0x64</v>
      </c>
    </row>
    <row r="22" spans="1:2" x14ac:dyDescent="0.25">
      <c r="A22" s="3" t="str">
        <f>'register map'!B24</f>
        <v>0x55</v>
      </c>
      <c r="B22" s="3" t="str">
        <f>'register map'!G24</f>
        <v>0x00</v>
      </c>
    </row>
    <row r="23" spans="1:2" x14ac:dyDescent="0.25">
      <c r="A23" s="3" t="str">
        <f>'register map'!B25</f>
        <v>0x56</v>
      </c>
      <c r="B23" s="3" t="str">
        <f>'register map'!G25</f>
        <v>0x00</v>
      </c>
    </row>
    <row r="24" spans="1:2" x14ac:dyDescent="0.25">
      <c r="A24" s="3" t="str">
        <f>'register map'!B26</f>
        <v>0x57</v>
      </c>
      <c r="B24" s="3" t="str">
        <f>'register map'!G26</f>
        <v>0x37</v>
      </c>
    </row>
    <row r="25" spans="1:2" x14ac:dyDescent="0.25">
      <c r="A25" s="3" t="str">
        <f>'register map'!B27</f>
        <v>0x58</v>
      </c>
      <c r="B25" s="3" t="str">
        <f>'register map'!G27</f>
        <v>0x77</v>
      </c>
    </row>
    <row r="26" spans="1:2" x14ac:dyDescent="0.25">
      <c r="A26" s="3" t="str">
        <f>'register map'!B28</f>
        <v>0x59</v>
      </c>
      <c r="B26" s="3" t="str">
        <f>'register map'!G28</f>
        <v>0x01</v>
      </c>
    </row>
    <row r="27" spans="1:2" x14ac:dyDescent="0.25">
      <c r="A27" s="3" t="str">
        <f>'register map'!B29</f>
        <v>0x5A</v>
      </c>
      <c r="B27" s="3" t="str">
        <f>'register map'!G29</f>
        <v>0xFF</v>
      </c>
    </row>
    <row r="28" spans="1:2" x14ac:dyDescent="0.25">
      <c r="A28" s="3" t="str">
        <f>'register map'!B30</f>
        <v>0x5B</v>
      </c>
      <c r="B28" s="3" t="str">
        <f>'register map'!G30</f>
        <v>0xFF</v>
      </c>
    </row>
    <row r="29" spans="1:2" x14ac:dyDescent="0.25">
      <c r="A29" s="3" t="str">
        <f>'register map'!B31</f>
        <v>0x5C</v>
      </c>
      <c r="B29" s="3" t="str">
        <f>'register map'!G31</f>
        <v>0xFF</v>
      </c>
    </row>
    <row r="30" spans="1:2" x14ac:dyDescent="0.25">
      <c r="A30" s="3" t="str">
        <f>'register map'!B32</f>
        <v>0x5D</v>
      </c>
      <c r="B30" s="3" t="str">
        <f>'register map'!G32</f>
        <v>0xFF</v>
      </c>
    </row>
    <row r="31" spans="1:2" x14ac:dyDescent="0.25">
      <c r="A31" s="3" t="str">
        <f>'register map'!B33</f>
        <v>0x5E</v>
      </c>
      <c r="B31" s="3" t="str">
        <f>'register map'!G33</f>
        <v>0xFF</v>
      </c>
    </row>
    <row r="32" spans="1:2" x14ac:dyDescent="0.25">
      <c r="A32" s="3" t="str">
        <f>'register map'!B34</f>
        <v>0x5F</v>
      </c>
      <c r="B32" s="3" t="str">
        <f>'register map'!G34</f>
        <v>0xFF</v>
      </c>
    </row>
    <row r="33" spans="1:2" x14ac:dyDescent="0.25">
      <c r="A33" s="3" t="str">
        <f>'register map'!B35</f>
        <v>0x60</v>
      </c>
      <c r="B33" s="3" t="str">
        <f>'register map'!G35</f>
        <v>0xFF</v>
      </c>
    </row>
    <row r="34" spans="1:2" x14ac:dyDescent="0.25">
      <c r="A34" s="3" t="str">
        <f>'register map'!B36</f>
        <v>0x61</v>
      </c>
      <c r="B34" s="3" t="str">
        <f>'register map'!G36</f>
        <v>0xFF</v>
      </c>
    </row>
    <row r="35" spans="1:2" x14ac:dyDescent="0.25">
      <c r="A35" s="3" t="str">
        <f>'register map'!B37</f>
        <v>0x62</v>
      </c>
      <c r="B35" s="3" t="str">
        <f>'register map'!G37</f>
        <v>0xFF</v>
      </c>
    </row>
    <row r="36" spans="1:2" x14ac:dyDescent="0.25">
      <c r="A36" s="3" t="str">
        <f>'register map'!B38</f>
        <v>0x63</v>
      </c>
      <c r="B36" s="3" t="str">
        <f>'register map'!G38</f>
        <v>0xFF</v>
      </c>
    </row>
    <row r="37" spans="1:2" x14ac:dyDescent="0.25">
      <c r="A37" s="3" t="str">
        <f>'register map'!B39</f>
        <v>0x64</v>
      </c>
      <c r="B37" s="3" t="str">
        <f>'register map'!G39</f>
        <v>0xFF</v>
      </c>
    </row>
    <row r="38" spans="1:2" x14ac:dyDescent="0.25">
      <c r="A38" s="3" t="str">
        <f>'register map'!B40</f>
        <v>0x65</v>
      </c>
      <c r="B38" s="3" t="str">
        <f>'register map'!G40</f>
        <v>0xFF</v>
      </c>
    </row>
    <row r="39" spans="1:2" x14ac:dyDescent="0.25">
      <c r="A39" s="3" t="str">
        <f>'register map'!B41</f>
        <v>0x66</v>
      </c>
      <c r="B39" s="3" t="str">
        <f>'register map'!G41</f>
        <v>0xFF</v>
      </c>
    </row>
    <row r="40" spans="1:2" x14ac:dyDescent="0.25">
      <c r="A40" s="3" t="str">
        <f>'register map'!B42</f>
        <v>0x67</v>
      </c>
      <c r="B40" s="3" t="str">
        <f>'register map'!G42</f>
        <v>0xFF</v>
      </c>
    </row>
    <row r="41" spans="1:2" x14ac:dyDescent="0.25">
      <c r="A41" s="3" t="str">
        <f>'register map'!B43</f>
        <v>0x68</v>
      </c>
      <c r="B41" s="3" t="str">
        <f>'register map'!G43</f>
        <v>0xFF</v>
      </c>
    </row>
    <row r="42" spans="1:2" x14ac:dyDescent="0.25">
      <c r="A42" s="3" t="str">
        <f>'register map'!B44</f>
        <v>0x69</v>
      </c>
      <c r="B42" s="3" t="str">
        <f>'register map'!G44</f>
        <v>0xFF</v>
      </c>
    </row>
    <row r="43" spans="1:2" x14ac:dyDescent="0.25">
      <c r="A43" s="3" t="str">
        <f>'register map'!B45</f>
        <v>0x6A</v>
      </c>
      <c r="B43" s="3" t="str">
        <f>'register map'!G45</f>
        <v>0xFF</v>
      </c>
    </row>
    <row r="44" spans="1:2" x14ac:dyDescent="0.25">
      <c r="A44" s="3" t="str">
        <f>'register map'!B46</f>
        <v>0x6B</v>
      </c>
      <c r="B44" s="3" t="str">
        <f>'register map'!G46</f>
        <v>0xFF</v>
      </c>
    </row>
    <row r="45" spans="1:2" x14ac:dyDescent="0.25">
      <c r="A45" s="3" t="str">
        <f>'register map'!B47</f>
        <v>0x6C</v>
      </c>
      <c r="B45" s="3" t="str">
        <f>'register map'!G47</f>
        <v>0xFF</v>
      </c>
    </row>
    <row r="46" spans="1:2" x14ac:dyDescent="0.25">
      <c r="A46" s="3" t="str">
        <f>'register map'!B48</f>
        <v>0x6D</v>
      </c>
      <c r="B46" s="3" t="str">
        <f>'register map'!G48</f>
        <v>0xFF</v>
      </c>
    </row>
    <row r="47" spans="1:2" x14ac:dyDescent="0.25">
      <c r="A47" s="3" t="str">
        <f>'register map'!B49</f>
        <v>0x6E</v>
      </c>
      <c r="B47" s="3" t="str">
        <f>'register map'!G49</f>
        <v>0xFF</v>
      </c>
    </row>
    <row r="48" spans="1:2" x14ac:dyDescent="0.25">
      <c r="A48" s="3" t="str">
        <f>'register map'!B50</f>
        <v>0x6F</v>
      </c>
      <c r="B48" s="3" t="str">
        <f>'register map'!G50</f>
        <v>0xFF</v>
      </c>
    </row>
    <row r="49" spans="1:2" x14ac:dyDescent="0.25">
      <c r="A49" s="3" t="str">
        <f>'register map'!B51</f>
        <v>0x70</v>
      </c>
      <c r="B49" s="3" t="str">
        <f>'register map'!G51</f>
        <v>0xFF</v>
      </c>
    </row>
    <row r="50" spans="1:2" x14ac:dyDescent="0.25">
      <c r="A50" s="3" t="str">
        <f>'register map'!B52</f>
        <v>0x71</v>
      </c>
      <c r="B50" s="3" t="str">
        <f>'register map'!G52</f>
        <v>0xFF</v>
      </c>
    </row>
    <row r="51" spans="1:2" x14ac:dyDescent="0.25">
      <c r="A51" s="3" t="str">
        <f>'register map'!B53</f>
        <v>0x72</v>
      </c>
      <c r="B51" s="3" t="str">
        <f>'register map'!G53</f>
        <v>0xFF</v>
      </c>
    </row>
    <row r="52" spans="1:2" x14ac:dyDescent="0.25">
      <c r="A52" s="3" t="str">
        <f>'register map'!B54</f>
        <v>0x73</v>
      </c>
      <c r="B52" s="3" t="str">
        <f>'register map'!G54</f>
        <v>0xFF</v>
      </c>
    </row>
    <row r="53" spans="1:2" x14ac:dyDescent="0.25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40625" defaultRowHeight="15" x14ac:dyDescent="0.25"/>
  <cols>
    <col min="1" max="1" width="33.5703125" style="3" bestFit="1" customWidth="1"/>
    <col min="2" max="2" width="23" style="113" customWidth="1"/>
    <col min="3" max="8" width="15.7109375" style="3" customWidth="1"/>
    <col min="9" max="9" width="24.28515625" style="10" bestFit="1" customWidth="1"/>
    <col min="10" max="10" width="15.7109375" style="10" customWidth="1"/>
    <col min="11" max="11" width="24.28515625" style="10" bestFit="1" customWidth="1"/>
    <col min="12" max="12" width="15.7109375" style="10" customWidth="1"/>
    <col min="13" max="13" width="15.7109375" style="126" customWidth="1"/>
    <col min="14" max="14" width="15.7109375" style="3" customWidth="1"/>
    <col min="15" max="15" width="19.28515625" style="3" bestFit="1" customWidth="1"/>
    <col min="16" max="35" width="15.7109375" style="3" customWidth="1"/>
    <col min="36" max="16384" width="9.140625" style="3"/>
  </cols>
  <sheetData>
    <row r="1" spans="1:12" x14ac:dyDescent="0.25">
      <c r="A1" s="50" t="s">
        <v>502</v>
      </c>
      <c r="I1" s="3"/>
    </row>
    <row r="2" spans="1:12" x14ac:dyDescent="0.25">
      <c r="A2" s="50" t="s">
        <v>503</v>
      </c>
      <c r="B2" s="113" t="s">
        <v>504</v>
      </c>
      <c r="I2" s="3"/>
    </row>
    <row r="3" spans="1:12" x14ac:dyDescent="0.25">
      <c r="B3" s="114" t="s">
        <v>505</v>
      </c>
      <c r="I3" s="3"/>
    </row>
    <row r="4" spans="1:12" x14ac:dyDescent="0.25">
      <c r="B4" s="114" t="s">
        <v>506</v>
      </c>
      <c r="I4" s="3"/>
    </row>
    <row r="5" spans="1:12" x14ac:dyDescent="0.25">
      <c r="B5" s="114" t="s">
        <v>507</v>
      </c>
      <c r="I5" s="3"/>
    </row>
    <row r="6" spans="1:12" x14ac:dyDescent="0.25">
      <c r="B6" s="114"/>
      <c r="I6" s="3"/>
      <c r="J6" s="115"/>
      <c r="K6" s="115"/>
      <c r="L6" s="115"/>
    </row>
    <row r="7" spans="1:12" x14ac:dyDescent="0.25">
      <c r="A7" s="3" t="s">
        <v>155</v>
      </c>
      <c r="B7" s="113" t="str">
        <f>settings!B36</f>
        <v>Yes</v>
      </c>
      <c r="I7" s="3"/>
    </row>
    <row r="8" spans="1:12" x14ac:dyDescent="0.25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25">
      <c r="A9" s="3" t="s">
        <v>549</v>
      </c>
      <c r="B9" s="122">
        <f>constants!C64</f>
        <v>7.2999999999999995E-2</v>
      </c>
      <c r="D9" s="116">
        <f>IF(B12=-1,B11,B13)</f>
        <v>2.9929999999999999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25">
      <c r="A10" s="3" t="e">
        <f>"v_bat_max_hi ("&amp;TEXT(B10,"0.00")&amp;")"</f>
        <v>#VALUE!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3.2119999999999997</v>
      </c>
      <c r="L10" s="10">
        <v>1</v>
      </c>
    </row>
    <row r="11" spans="1:12" x14ac:dyDescent="0.25">
      <c r="A11" s="3" t="e">
        <f>"v_bat_max_lo ("&amp;TEXT(B11,"0.00")&amp;")"</f>
        <v>#VALUE!</v>
      </c>
      <c r="B11" s="118">
        <f>(settings!H76+1)*B9</f>
        <v>3.9419999999999997</v>
      </c>
      <c r="C11" s="3" t="s">
        <v>518</v>
      </c>
      <c r="D11" s="50">
        <f>SLOPE(D9:D10,E9:E10)</f>
        <v>6.7719999999999994</v>
      </c>
      <c r="I11" s="3"/>
      <c r="J11" s="10" t="s">
        <v>518</v>
      </c>
      <c r="K11" s="119">
        <f>SLOPE(K9:K10,L9:L10)</f>
        <v>0.80299999999999994</v>
      </c>
    </row>
    <row r="12" spans="1:12" x14ac:dyDescent="0.25">
      <c r="A12" s="3" t="e">
        <f>"v_apl_max_hi ("&amp;TEXT(B12,"0.00")&amp;")"</f>
        <v>#VALUE!</v>
      </c>
      <c r="B12" s="118">
        <f>IF(settings!H42&gt;settings!H41,-1,(settings!H42+1)*B9)</f>
        <v>3.4309999999999996</v>
      </c>
      <c r="C12" s="3" t="s">
        <v>519</v>
      </c>
      <c r="D12" s="50">
        <f>INTERCEPT(D9:D10,E9:E10)</f>
        <v>-5.4719999999999995</v>
      </c>
      <c r="I12" s="3"/>
      <c r="J12" s="10" t="s">
        <v>519</v>
      </c>
      <c r="K12" s="119">
        <f>INTERCEPT(K9:K10,L9:L10)</f>
        <v>2.4089999999999998</v>
      </c>
    </row>
    <row r="13" spans="1:12" x14ac:dyDescent="0.25">
      <c r="A13" s="3" t="e">
        <f>"v_apl_max_lo ("&amp;TEXT(B13,"0.00")&amp;")"</f>
        <v>#VALUE!</v>
      </c>
      <c r="B13" s="118">
        <f>IF(settings!H42&gt;settings!H41,-1,(settings!H73+1)*B9)</f>
        <v>2.9929999999999999</v>
      </c>
      <c r="D13" s="116">
        <f>B16</f>
        <v>2.4819999999999998</v>
      </c>
      <c r="E13" s="3">
        <v>1.5</v>
      </c>
      <c r="G13" s="3">
        <f>(B16+G14)/2</f>
        <v>1.5659999999999998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25">
      <c r="A14" s="3" t="e">
        <f>"v_bat_min_hi_dis ("&amp;TEXT(B14,"0.00")&amp;")"</f>
        <v>#VALUE!</v>
      </c>
      <c r="B14" s="118">
        <f>(settings!H66+1)*B9</f>
        <v>2.4819999999999998</v>
      </c>
      <c r="D14" s="116">
        <f>D9</f>
        <v>2.9929999999999999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25">
      <c r="A15" s="3" t="e">
        <f>"v_bat_min_hi_con ("&amp;TEXT(B15,"0.00")&amp;")"</f>
        <v>#VALUE!</v>
      </c>
      <c r="B15" s="118">
        <f>(settings!H67+1)*B9</f>
        <v>2.19</v>
      </c>
      <c r="C15" s="3" t="s">
        <v>520</v>
      </c>
      <c r="D15" s="50">
        <f>SLOPE(D13:D14,E13:E14)</f>
        <v>-2.0440000000000005</v>
      </c>
      <c r="G15" s="50">
        <f>SLOPE(G13:G14,H13:H14)</f>
        <v>3.6639999999999993</v>
      </c>
      <c r="I15" s="3"/>
      <c r="J15" s="10" t="s">
        <v>520</v>
      </c>
      <c r="K15" s="119">
        <f>SLOPE(K13:K14,L13:L14)</f>
        <v>-0.14599999999999991</v>
      </c>
    </row>
    <row r="16" spans="1:12" x14ac:dyDescent="0.25">
      <c r="A16" s="3" t="e">
        <f>"v_bat_min_hi ("&amp;TEXT(B16,"0.00")&amp;")"</f>
        <v>#VALUE!</v>
      </c>
      <c r="B16" s="118">
        <f>IF(B8="No",B14,B15)</f>
        <v>2.4819999999999998</v>
      </c>
      <c r="C16" s="3" t="s">
        <v>521</v>
      </c>
      <c r="D16" s="50">
        <f>INTERCEPT(D13:D14,E13:E14)</f>
        <v>5.548</v>
      </c>
      <c r="G16" s="50">
        <f>INTERCEPT(G13:G14,H13:H14)</f>
        <v>-3.9299999999999997</v>
      </c>
      <c r="I16" s="3"/>
      <c r="J16" s="10" t="s">
        <v>521</v>
      </c>
      <c r="K16" s="119">
        <f>INTERCEPT(K13:K14,L13:L14)</f>
        <v>4.3069999999999995</v>
      </c>
    </row>
    <row r="17" spans="1:12" x14ac:dyDescent="0.25">
      <c r="A17" s="3" t="e">
        <f>"v_bat_min_lo ("&amp;TEXT(B17,"0.00")&amp;")"</f>
        <v>#VALUE!</v>
      </c>
      <c r="B17" s="118">
        <f>(settings!H43+1)*B9</f>
        <v>2.117</v>
      </c>
      <c r="D17" s="116">
        <f>D14</f>
        <v>2.9929999999999999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25">
      <c r="A18" s="3" t="str">
        <f>"Vcs_hi ("&amp;TEXT(B18,"0.00")&amp;")"</f>
        <v>Vcs_hi (1.30)</v>
      </c>
      <c r="B18" s="118">
        <f>constants!B154</f>
        <v>1.3</v>
      </c>
      <c r="D18" s="116">
        <f>D13</f>
        <v>2.4819999999999998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25">
      <c r="B19" s="118"/>
      <c r="C19" s="3" t="s">
        <v>522</v>
      </c>
      <c r="D19" s="50">
        <f>SLOPE(D17:D18,E17:E18)</f>
        <v>2.0440000000000005</v>
      </c>
      <c r="I19" s="3"/>
      <c r="J19" s="10" t="s">
        <v>522</v>
      </c>
      <c r="K19" s="119">
        <f>SLOPE(K17:K18,L17:L18)</f>
        <v>0.14599999999999991</v>
      </c>
    </row>
    <row r="20" spans="1:12" x14ac:dyDescent="0.25">
      <c r="A20" s="3" t="s">
        <v>534</v>
      </c>
      <c r="B20" s="118">
        <f>settings!B93</f>
        <v>2.4</v>
      </c>
      <c r="C20" s="3" t="s">
        <v>523</v>
      </c>
      <c r="D20" s="50">
        <f>INTERCEPT(D17:D18,E17:E18)</f>
        <v>-0.58400000000000096</v>
      </c>
      <c r="I20" s="3"/>
      <c r="J20" s="10" t="s">
        <v>523</v>
      </c>
      <c r="K20" s="119">
        <f>INTERCEPT(K17:K18,L17:L18)</f>
        <v>3.577</v>
      </c>
    </row>
    <row r="21" spans="1:12" x14ac:dyDescent="0.25">
      <c r="A21" s="3" t="s">
        <v>535</v>
      </c>
      <c r="B21" s="118">
        <f>settings!B104</f>
        <v>2</v>
      </c>
      <c r="D21" s="116">
        <f>D18</f>
        <v>2.4819999999999998</v>
      </c>
      <c r="E21" s="3">
        <v>2</v>
      </c>
      <c r="G21" s="116">
        <f>D21</f>
        <v>2.4819999999999998</v>
      </c>
      <c r="H21" s="3">
        <v>2</v>
      </c>
      <c r="I21" s="3"/>
    </row>
    <row r="22" spans="1:12" x14ac:dyDescent="0.25">
      <c r="A22" s="3" t="s">
        <v>538</v>
      </c>
      <c r="B22" s="113" t="str">
        <f>settings!B92</f>
        <v>Yes</v>
      </c>
      <c r="D22" s="116">
        <f>D17</f>
        <v>2.9929999999999999</v>
      </c>
      <c r="E22" s="3">
        <v>1.75</v>
      </c>
      <c r="G22" s="3">
        <f>G13</f>
        <v>1.5659999999999998</v>
      </c>
      <c r="H22" s="3">
        <v>1.75</v>
      </c>
      <c r="I22" s="3"/>
    </row>
    <row r="23" spans="1:12" x14ac:dyDescent="0.25">
      <c r="C23" s="3" t="s">
        <v>524</v>
      </c>
      <c r="D23" s="50">
        <f>SLOPE(D21:D22,E21:E22)</f>
        <v>-2.0440000000000005</v>
      </c>
      <c r="G23" s="50">
        <f>SLOPE(G21:G22,H21:H22)</f>
        <v>3.6639999999999997</v>
      </c>
      <c r="I23" s="3"/>
    </row>
    <row r="24" spans="1:12" x14ac:dyDescent="0.25">
      <c r="C24" s="3" t="s">
        <v>526</v>
      </c>
      <c r="D24" s="50">
        <f>INTERCEPT(D21:D22,E21:E22)</f>
        <v>6.57</v>
      </c>
      <c r="G24" s="50">
        <f>INTERCEPT(G21:G22,H21:H22)</f>
        <v>-4.8459999999999992</v>
      </c>
      <c r="I24" s="3"/>
    </row>
    <row r="25" spans="1:12" x14ac:dyDescent="0.25">
      <c r="I25" s="3"/>
    </row>
    <row r="26" spans="1:12" x14ac:dyDescent="0.25">
      <c r="I26" s="3"/>
    </row>
    <row r="27" spans="1:12" x14ac:dyDescent="0.25">
      <c r="D27" s="116">
        <f>B10</f>
        <v>4.0149999999999997</v>
      </c>
      <c r="E27" s="3">
        <v>2.25</v>
      </c>
      <c r="I27" s="3"/>
    </row>
    <row r="28" spans="1:12" x14ac:dyDescent="0.25">
      <c r="A28" s="3" t="s">
        <v>568</v>
      </c>
      <c r="D28" s="116">
        <f>D21</f>
        <v>2.4819999999999998</v>
      </c>
      <c r="E28" s="3">
        <v>2</v>
      </c>
      <c r="I28" s="3"/>
    </row>
    <row r="29" spans="1:12" x14ac:dyDescent="0.25">
      <c r="A29" s="3" t="s">
        <v>508</v>
      </c>
      <c r="C29" s="3" t="s">
        <v>524</v>
      </c>
      <c r="D29" s="50">
        <f>SLOPE(D27:D28,E27:E28)</f>
        <v>6.1319999999999997</v>
      </c>
      <c r="I29" s="3">
        <v>0.3</v>
      </c>
    </row>
    <row r="30" spans="1:12" x14ac:dyDescent="0.25">
      <c r="A30" s="3" t="s">
        <v>509</v>
      </c>
      <c r="C30" s="3" t="s">
        <v>526</v>
      </c>
      <c r="D30" s="50">
        <f>INTERCEPT(D27:D28,E27:E28)</f>
        <v>-9.782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25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25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25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25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25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25">
      <c r="A36" s="3" t="s">
        <v>513</v>
      </c>
      <c r="D36" s="116"/>
      <c r="I36" s="3"/>
      <c r="J36" s="115"/>
      <c r="K36" s="115"/>
      <c r="L36" s="115"/>
    </row>
    <row r="37" spans="1:12" x14ac:dyDescent="0.25">
      <c r="D37" s="116"/>
      <c r="I37" s="3"/>
      <c r="J37" s="115"/>
      <c r="K37" s="115"/>
      <c r="L37" s="115"/>
    </row>
    <row r="38" spans="1:12" x14ac:dyDescent="0.25">
      <c r="D38" s="116"/>
      <c r="I38" s="3"/>
      <c r="J38" s="115"/>
      <c r="K38" s="115"/>
      <c r="L38" s="115"/>
    </row>
    <row r="39" spans="1:12" x14ac:dyDescent="0.25">
      <c r="D39" s="116"/>
      <c r="G39" s="116">
        <f>IF(B13=-1,B11,B13)</f>
        <v>2.9929999999999999</v>
      </c>
      <c r="H39" s="3">
        <v>1.25</v>
      </c>
      <c r="I39" s="3"/>
      <c r="J39" s="115"/>
      <c r="K39" s="115"/>
      <c r="L39" s="115"/>
    </row>
    <row r="40" spans="1:12" x14ac:dyDescent="0.25">
      <c r="D40" s="116">
        <f>D31</f>
        <v>3.9419999999999997</v>
      </c>
      <c r="E40" s="3">
        <v>2.5</v>
      </c>
      <c r="G40" s="116">
        <f>G175</f>
        <v>3.0979999999999994</v>
      </c>
      <c r="H40" s="3">
        <v>1</v>
      </c>
      <c r="I40" s="3"/>
      <c r="J40" s="115"/>
      <c r="K40" s="115"/>
      <c r="L40" s="115"/>
    </row>
    <row r="41" spans="1:12" x14ac:dyDescent="0.25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-0.41999999999999815</v>
      </c>
      <c r="I41" s="3"/>
      <c r="J41" s="115"/>
      <c r="K41" s="115"/>
      <c r="L41" s="115"/>
    </row>
    <row r="42" spans="1:12" x14ac:dyDescent="0.25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3.5179999999999976</v>
      </c>
      <c r="I42" s="3"/>
      <c r="J42" s="115"/>
      <c r="K42" s="115"/>
      <c r="L42" s="115"/>
    </row>
    <row r="43" spans="1:12" x14ac:dyDescent="0.25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25">
      <c r="D44" s="116">
        <f>D35</f>
        <v>4.0149999999999997</v>
      </c>
      <c r="E44" s="3">
        <v>2.75</v>
      </c>
      <c r="G44" s="116">
        <f>B16</f>
        <v>2.4819999999999998</v>
      </c>
      <c r="H44" s="3">
        <v>1.5</v>
      </c>
      <c r="I44" s="3"/>
    </row>
    <row r="45" spans="1:12" x14ac:dyDescent="0.25">
      <c r="C45" s="3" t="s">
        <v>527</v>
      </c>
      <c r="D45" s="50">
        <f>SLOPE(D43:D44,E43:E44)</f>
        <v>-0.29199999999999982</v>
      </c>
      <c r="G45" s="116">
        <f>G39</f>
        <v>2.9929999999999999</v>
      </c>
      <c r="H45" s="3">
        <f>H39</f>
        <v>1.25</v>
      </c>
      <c r="I45" s="3"/>
    </row>
    <row r="46" spans="1:12" x14ac:dyDescent="0.25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-2.0440000000000005</v>
      </c>
      <c r="I46" s="3"/>
    </row>
    <row r="47" spans="1:12" x14ac:dyDescent="0.25">
      <c r="D47" s="50"/>
      <c r="G47" s="116" t="s">
        <v>553</v>
      </c>
      <c r="H47" s="3">
        <f>INTERCEPT(G44:G45,H44:H45)</f>
        <v>5.548</v>
      </c>
      <c r="I47" s="3"/>
    </row>
    <row r="48" spans="1:12" x14ac:dyDescent="0.25">
      <c r="D48" s="50"/>
      <c r="I48" s="3"/>
      <c r="J48" s="115"/>
      <c r="K48" s="115"/>
      <c r="L48" s="115"/>
    </row>
    <row r="49" spans="4:12" x14ac:dyDescent="0.25">
      <c r="D49" s="50"/>
      <c r="G49" s="116">
        <f>G45</f>
        <v>2.9929999999999999</v>
      </c>
      <c r="H49" s="3">
        <v>1.75</v>
      </c>
      <c r="I49" s="3"/>
      <c r="J49" s="115"/>
      <c r="K49" s="115"/>
      <c r="L49" s="115"/>
    </row>
    <row r="50" spans="4:12" x14ac:dyDescent="0.25">
      <c r="D50" s="50"/>
      <c r="G50" s="116">
        <f>G44</f>
        <v>2.4819999999999998</v>
      </c>
      <c r="H50" s="3">
        <f>H44</f>
        <v>1.5</v>
      </c>
      <c r="I50" s="3"/>
      <c r="J50" s="115"/>
      <c r="K50" s="115"/>
      <c r="L50" s="115"/>
    </row>
    <row r="51" spans="4:12" x14ac:dyDescent="0.25">
      <c r="D51" s="50"/>
      <c r="G51" s="116" t="s">
        <v>552</v>
      </c>
      <c r="H51" s="3">
        <f>SLOPE(G49:G50,H49:H50)</f>
        <v>2.0440000000000005</v>
      </c>
      <c r="I51" s="3"/>
      <c r="J51" s="115"/>
      <c r="K51" s="115"/>
      <c r="L51" s="115"/>
    </row>
    <row r="52" spans="4:12" x14ac:dyDescent="0.25">
      <c r="D52" s="50"/>
      <c r="G52" s="116" t="s">
        <v>553</v>
      </c>
      <c r="H52" s="3">
        <f>INTERCEPT(G49:G50,H49:H50)</f>
        <v>-0.58400000000000096</v>
      </c>
      <c r="I52" s="3"/>
      <c r="J52" s="115"/>
      <c r="K52" s="115"/>
      <c r="L52" s="115"/>
    </row>
    <row r="53" spans="4:12" x14ac:dyDescent="0.25">
      <c r="D53" s="50"/>
      <c r="I53" s="3"/>
      <c r="J53" s="115"/>
      <c r="K53" s="115"/>
      <c r="L53" s="115"/>
    </row>
    <row r="54" spans="4:12" x14ac:dyDescent="0.25">
      <c r="D54" s="50"/>
      <c r="G54" s="116">
        <f>H275-H74</f>
        <v>3.0979999999999994</v>
      </c>
      <c r="H54" s="3">
        <v>2</v>
      </c>
      <c r="I54" s="3"/>
      <c r="J54" s="115"/>
      <c r="K54" s="115"/>
      <c r="L54" s="115"/>
    </row>
    <row r="55" spans="4:12" x14ac:dyDescent="0.25">
      <c r="D55" s="50"/>
      <c r="G55" s="116">
        <f>G49</f>
        <v>2.9929999999999999</v>
      </c>
      <c r="H55" s="3">
        <f>H49</f>
        <v>1.75</v>
      </c>
      <c r="I55" s="3"/>
      <c r="J55" s="115"/>
      <c r="K55" s="115"/>
      <c r="L55" s="115"/>
    </row>
    <row r="56" spans="4:12" x14ac:dyDescent="0.25">
      <c r="D56" s="50"/>
      <c r="G56" s="116" t="s">
        <v>552</v>
      </c>
      <c r="H56" s="3">
        <f>SLOPE(G54:G55,H54:H55)</f>
        <v>0.41999999999999815</v>
      </c>
      <c r="I56" s="3"/>
      <c r="J56" s="115"/>
      <c r="K56" s="115"/>
      <c r="L56" s="115"/>
    </row>
    <row r="57" spans="4:12" x14ac:dyDescent="0.25">
      <c r="D57" s="50"/>
      <c r="G57" s="116" t="s">
        <v>553</v>
      </c>
      <c r="H57" s="3">
        <f>INTERCEPT(G54:G55,H54:H55)</f>
        <v>2.2580000000000031</v>
      </c>
      <c r="I57" s="3"/>
      <c r="J57" s="115"/>
      <c r="K57" s="115"/>
      <c r="L57" s="115"/>
    </row>
    <row r="58" spans="4:12" x14ac:dyDescent="0.25">
      <c r="D58" s="50"/>
      <c r="I58" s="3"/>
      <c r="J58" s="115"/>
      <c r="K58" s="115"/>
      <c r="L58" s="115"/>
    </row>
    <row r="59" spans="4:12" x14ac:dyDescent="0.25">
      <c r="D59" s="50"/>
      <c r="I59" s="3"/>
      <c r="J59" s="115"/>
      <c r="K59" s="115"/>
      <c r="L59" s="115"/>
    </row>
    <row r="60" spans="4:12" x14ac:dyDescent="0.25">
      <c r="D60" s="50"/>
      <c r="I60" s="3"/>
    </row>
    <row r="61" spans="4:12" x14ac:dyDescent="0.25">
      <c r="D61" s="50"/>
      <c r="G61" s="116">
        <f>G62-H72</f>
        <v>3.0129999999999995</v>
      </c>
      <c r="H61" s="3">
        <v>3</v>
      </c>
      <c r="I61" s="3"/>
    </row>
    <row r="62" spans="4:12" x14ac:dyDescent="0.25">
      <c r="D62" s="50"/>
      <c r="G62" s="116">
        <f>H176</f>
        <v>3.1129999999999995</v>
      </c>
      <c r="H62" s="3">
        <v>2</v>
      </c>
      <c r="I62" s="3"/>
    </row>
    <row r="63" spans="4:12" x14ac:dyDescent="0.25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25">
      <c r="D64" s="50"/>
      <c r="G64" s="116" t="s">
        <v>553</v>
      </c>
      <c r="H64" s="3">
        <f>INTERCEPT(G61:G62,H61:H62)</f>
        <v>3.3129999999999997</v>
      </c>
      <c r="I64" s="3"/>
      <c r="J64" s="115"/>
      <c r="K64" s="115"/>
      <c r="L64" s="115"/>
    </row>
    <row r="65" spans="1:27" x14ac:dyDescent="0.25">
      <c r="I65" s="3"/>
    </row>
    <row r="66" spans="1:27" x14ac:dyDescent="0.25">
      <c r="G66" s="116">
        <f>G67-H72</f>
        <v>3.1119999999999997</v>
      </c>
      <c r="H66" s="3">
        <v>1</v>
      </c>
      <c r="I66" s="3"/>
    </row>
    <row r="67" spans="1:27" x14ac:dyDescent="0.25">
      <c r="G67" s="116">
        <f>H76</f>
        <v>3.2119999999999997</v>
      </c>
      <c r="H67" s="3">
        <v>0</v>
      </c>
      <c r="I67" s="3"/>
    </row>
    <row r="68" spans="1:27" x14ac:dyDescent="0.25">
      <c r="G68" s="116" t="s">
        <v>552</v>
      </c>
      <c r="H68" s="3">
        <f>SLOPE(G66:G67,H66:H67)</f>
        <v>-0.10000000000000009</v>
      </c>
      <c r="I68" s="3"/>
    </row>
    <row r="69" spans="1:27" x14ac:dyDescent="0.25">
      <c r="G69" s="116" t="s">
        <v>553</v>
      </c>
      <c r="H69" s="3">
        <f>INTERCEPT(G66:G67,H66:H67)</f>
        <v>3.2119999999999997</v>
      </c>
      <c r="I69" s="3"/>
    </row>
    <row r="70" spans="1:27" x14ac:dyDescent="0.25">
      <c r="I70" s="3"/>
    </row>
    <row r="71" spans="1:27" x14ac:dyDescent="0.25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25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25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25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25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25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3.2119999999999997</v>
      </c>
      <c r="G76" s="117">
        <f t="shared" ref="G76:G107" si="1">(H76-$H$74)/(1-EXP(-1/G$74))*(1-EXP(-$B76/G$74))</f>
        <v>0</v>
      </c>
      <c r="H76" s="117">
        <f>IF(B12=-1,(B11+B16)/2,(B11+B16)/2)</f>
        <v>3.2119999999999997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25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2.0208894265748985</v>
      </c>
      <c r="F77" s="117">
        <f>F76</f>
        <v>3.2119999999999997</v>
      </c>
      <c r="G77" s="117">
        <f t="shared" si="1"/>
        <v>2.0202573060160702</v>
      </c>
      <c r="H77" s="117">
        <f t="shared" ref="H77:H108" si="4">$H$68*B77+$H$69</f>
        <v>3.2109999999999999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25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2.764333099492549</v>
      </c>
      <c r="F78" s="117">
        <f t="shared" ref="F78:F117" si="13">F77</f>
        <v>3.2119999999999997</v>
      </c>
      <c r="G78" s="117">
        <f t="shared" si="1"/>
        <v>2.7626037700590222</v>
      </c>
      <c r="H78" s="117">
        <f t="shared" si="4"/>
        <v>3.21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25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3.0378307424279387</v>
      </c>
      <c r="F79" s="117">
        <f t="shared" si="13"/>
        <v>3.2119999999999997</v>
      </c>
      <c r="G79" s="117">
        <f t="shared" si="1"/>
        <v>3.0349801036330422</v>
      </c>
      <c r="H79" s="117">
        <f t="shared" si="4"/>
        <v>3.2089999999999996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25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3.1384449024727163</v>
      </c>
      <c r="F80" s="117">
        <f t="shared" si="13"/>
        <v>3.2119999999999997</v>
      </c>
      <c r="G80" s="117">
        <f t="shared" si="1"/>
        <v>3.1345181650282714</v>
      </c>
      <c r="H80" s="117">
        <f t="shared" si="4"/>
        <v>3.2079999999999997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25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3.1754587834439234</v>
      </c>
      <c r="F81" s="117">
        <f t="shared" si="13"/>
        <v>3.2119999999999997</v>
      </c>
      <c r="G81" s="117">
        <f t="shared" si="1"/>
        <v>3.170492473178919</v>
      </c>
      <c r="H81" s="117">
        <f t="shared" si="4"/>
        <v>3.2069999999999999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25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3.1890754292911971</v>
      </c>
      <c r="F82" s="117">
        <f t="shared" si="13"/>
        <v>3.2119999999999997</v>
      </c>
      <c r="G82" s="117">
        <f t="shared" si="1"/>
        <v>3.1830903018042571</v>
      </c>
      <c r="H82" s="117">
        <f t="shared" si="4"/>
        <v>3.2059999999999995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25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3.1940847133561219</v>
      </c>
      <c r="F83" s="117">
        <f t="shared" si="13"/>
        <v>3.2119999999999997</v>
      </c>
      <c r="G83" s="117">
        <f t="shared" si="1"/>
        <v>3.1870910965298807</v>
      </c>
      <c r="H83" s="117">
        <f t="shared" si="4"/>
        <v>3.2049999999999996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25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3.1959275259785951</v>
      </c>
      <c r="F84" s="117">
        <f t="shared" si="13"/>
        <v>3.2119999999999997</v>
      </c>
      <c r="G84" s="117">
        <f t="shared" si="1"/>
        <v>3.1879302096796187</v>
      </c>
      <c r="H84" s="117">
        <f t="shared" si="4"/>
        <v>3.2039999999999997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25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3.1966054588563346</v>
      </c>
      <c r="F85" s="117">
        <f t="shared" si="13"/>
        <v>3.2119999999999997</v>
      </c>
      <c r="G85" s="117">
        <f t="shared" si="1"/>
        <v>3.1876065695445717</v>
      </c>
      <c r="H85" s="117">
        <f t="shared" si="4"/>
        <v>3.2029999999999998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25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3.1968548564245491</v>
      </c>
      <c r="F86" s="117">
        <f t="shared" si="13"/>
        <v>3.2119999999999997</v>
      </c>
      <c r="G86" s="117">
        <f t="shared" si="1"/>
        <v>3.1868553104238466</v>
      </c>
      <c r="H86" s="117">
        <f t="shared" si="4"/>
        <v>3.202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25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3.196946604662573</v>
      </c>
      <c r="F87" s="117">
        <f t="shared" si="13"/>
        <v>3.2119999999999997</v>
      </c>
      <c r="G87" s="117">
        <f t="shared" si="1"/>
        <v>3.1859467883812815</v>
      </c>
      <c r="H87" s="117">
        <f t="shared" si="4"/>
        <v>3.2009999999999996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25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3.1969803569531061</v>
      </c>
      <c r="F88" s="117">
        <f t="shared" si="13"/>
        <v>3.2119999999999997</v>
      </c>
      <c r="G88" s="117">
        <f t="shared" si="1"/>
        <v>3.184980430683654</v>
      </c>
      <c r="H88" s="117">
        <f t="shared" si="4"/>
        <v>3.1999999999999997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25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3.1969927737268855</v>
      </c>
      <c r="F89" s="117">
        <f t="shared" si="13"/>
        <v>3.2119999999999997</v>
      </c>
      <c r="G89" s="117">
        <f t="shared" si="1"/>
        <v>3.1839928031111677</v>
      </c>
      <c r="H89" s="117">
        <f t="shared" si="4"/>
        <v>3.1989999999999998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25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3.1969973416026845</v>
      </c>
      <c r="F90" s="117">
        <f t="shared" si="13"/>
        <v>3.2119999999999997</v>
      </c>
      <c r="G90" s="117">
        <f t="shared" si="1"/>
        <v>3.1829973532440867</v>
      </c>
      <c r="H90" s="117">
        <f t="shared" si="4"/>
        <v>3.198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25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3.1969990220302811</v>
      </c>
      <c r="F91" s="117">
        <f t="shared" si="13"/>
        <v>3.2119999999999997</v>
      </c>
      <c r="G91" s="117">
        <f t="shared" si="1"/>
        <v>3.1819990266188158</v>
      </c>
      <c r="H91" s="117">
        <f t="shared" si="4"/>
        <v>3.1969999999999996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25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3.1969996402250458</v>
      </c>
      <c r="F92" s="117">
        <f t="shared" si="13"/>
        <v>3.2119999999999997</v>
      </c>
      <c r="G92" s="117">
        <f t="shared" si="1"/>
        <v>3.1809996420256086</v>
      </c>
      <c r="H92" s="117">
        <f t="shared" si="4"/>
        <v>3.1959999999999997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25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3.1969998676461908</v>
      </c>
      <c r="F93" s="117">
        <f t="shared" si="13"/>
        <v>3.2119999999999997</v>
      </c>
      <c r="G93" s="117">
        <f t="shared" si="1"/>
        <v>3.1799998683499804</v>
      </c>
      <c r="H93" s="117">
        <f t="shared" si="4"/>
        <v>3.1949999999999998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25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3.1969999513097545</v>
      </c>
      <c r="F94" s="117">
        <f t="shared" si="13"/>
        <v>3.2119999999999997</v>
      </c>
      <c r="G94" s="117">
        <f t="shared" si="1"/>
        <v>3.178999951583894</v>
      </c>
      <c r="H94" s="117">
        <f t="shared" si="4"/>
        <v>3.1939999999999995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25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3.1969999820878594</v>
      </c>
      <c r="F95" s="117">
        <f t="shared" si="13"/>
        <v>3.2119999999999997</v>
      </c>
      <c r="G95" s="117">
        <f t="shared" si="1"/>
        <v>3.1779999821943123</v>
      </c>
      <c r="H95" s="117">
        <f t="shared" si="4"/>
        <v>3.1929999999999996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25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3.1969999934104916</v>
      </c>
      <c r="F96" s="117">
        <f t="shared" si="13"/>
        <v>3.2119999999999997</v>
      </c>
      <c r="G96" s="117">
        <f t="shared" si="1"/>
        <v>3.1769999934517146</v>
      </c>
      <c r="H96" s="117">
        <f t="shared" si="4"/>
        <v>3.1919999999999997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25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3.1969999975758552</v>
      </c>
      <c r="F97" s="117">
        <f t="shared" si="13"/>
        <v>3.2119999999999997</v>
      </c>
      <c r="G97" s="117">
        <f t="shared" si="1"/>
        <v>3.1759999975917785</v>
      </c>
      <c r="H97" s="117">
        <f t="shared" si="4"/>
        <v>3.1909999999999998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25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3.1969999991082068</v>
      </c>
      <c r="F98" s="117">
        <f t="shared" si="13"/>
        <v>3.2119999999999997</v>
      </c>
      <c r="G98" s="117">
        <f t="shared" si="1"/>
        <v>3.1749999991143434</v>
      </c>
      <c r="H98" s="117">
        <f t="shared" si="4"/>
        <v>3.1899999999999995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25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3.1969999996719274</v>
      </c>
      <c r="F99" s="117">
        <f t="shared" si="13"/>
        <v>3.2119999999999997</v>
      </c>
      <c r="G99" s="117">
        <f t="shared" si="1"/>
        <v>3.1739999996742876</v>
      </c>
      <c r="H99" s="117">
        <f t="shared" si="4"/>
        <v>3.1889999999999996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25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3.1969999998793086</v>
      </c>
      <c r="F100" s="117">
        <f t="shared" si="13"/>
        <v>3.2119999999999997</v>
      </c>
      <c r="G100" s="117">
        <f t="shared" si="1"/>
        <v>3.1729999998802145</v>
      </c>
      <c r="H100" s="117">
        <f t="shared" si="4"/>
        <v>3.1879999999999997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25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3.1969999999556</v>
      </c>
      <c r="F101" s="117">
        <f t="shared" si="13"/>
        <v>3.2119999999999997</v>
      </c>
      <c r="G101" s="117">
        <f t="shared" si="1"/>
        <v>3.1719999999559474</v>
      </c>
      <c r="H101" s="117">
        <f t="shared" si="4"/>
        <v>3.1869999999999998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25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3.1969999999836656</v>
      </c>
      <c r="F102" s="117">
        <f t="shared" si="13"/>
        <v>3.2119999999999997</v>
      </c>
      <c r="G102" s="117">
        <f t="shared" si="1"/>
        <v>3.1709999999837981</v>
      </c>
      <c r="H102" s="117">
        <f t="shared" si="4"/>
        <v>3.1859999999999995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25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3.1969999999939906</v>
      </c>
      <c r="F103" s="117">
        <f t="shared" si="13"/>
        <v>3.2119999999999997</v>
      </c>
      <c r="G103" s="117">
        <f t="shared" si="1"/>
        <v>3.1699999999940416</v>
      </c>
      <c r="H103" s="117">
        <f t="shared" si="4"/>
        <v>3.1849999999999996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25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3.1969999999977889</v>
      </c>
      <c r="F104" s="117">
        <f t="shared" si="13"/>
        <v>3.2119999999999997</v>
      </c>
      <c r="G104" s="117">
        <f t="shared" si="1"/>
        <v>3.1689999999978085</v>
      </c>
      <c r="H104" s="117">
        <f t="shared" si="4"/>
        <v>3.1839999999999997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25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3.1969999999991865</v>
      </c>
      <c r="F105" s="117">
        <f t="shared" si="13"/>
        <v>3.2119999999999997</v>
      </c>
      <c r="G105" s="117">
        <f t="shared" si="1"/>
        <v>3.1679999999991941</v>
      </c>
      <c r="H105" s="117">
        <f t="shared" si="4"/>
        <v>3.1829999999999998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25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3.1969999999997003</v>
      </c>
      <c r="F106" s="117">
        <f t="shared" si="13"/>
        <v>3.2119999999999997</v>
      </c>
      <c r="G106" s="117">
        <f t="shared" si="1"/>
        <v>3.1669999999997032</v>
      </c>
      <c r="H106" s="117">
        <f t="shared" si="4"/>
        <v>3.1819999999999995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25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3.1969999999998895</v>
      </c>
      <c r="F107" s="117">
        <f t="shared" si="13"/>
        <v>3.2119999999999997</v>
      </c>
      <c r="G107" s="117">
        <f t="shared" si="1"/>
        <v>3.1659999999998907</v>
      </c>
      <c r="H107" s="117">
        <f t="shared" si="4"/>
        <v>3.1809999999999996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25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3.1969999999999592</v>
      </c>
      <c r="F108" s="117">
        <f t="shared" si="13"/>
        <v>3.2119999999999997</v>
      </c>
      <c r="G108" s="117">
        <f t="shared" ref="G108:G139" si="20">(H108-$H$74)/(1-EXP(-1/G$74))*(1-EXP(-$B108/G$74))</f>
        <v>3.1649999999999596</v>
      </c>
      <c r="H108" s="117">
        <f t="shared" si="4"/>
        <v>3.1799999999999997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25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3.1969999999999845</v>
      </c>
      <c r="F109" s="117">
        <f t="shared" si="13"/>
        <v>3.2119999999999997</v>
      </c>
      <c r="G109" s="117">
        <f t="shared" si="20"/>
        <v>3.163999999999985</v>
      </c>
      <c r="H109" s="117">
        <f t="shared" ref="H109:H140" si="22">$H$68*B109+$H$69</f>
        <v>3.1789999999999998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25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3.1969999999999943</v>
      </c>
      <c r="F110" s="117">
        <f t="shared" si="13"/>
        <v>3.2119999999999997</v>
      </c>
      <c r="G110" s="117">
        <f t="shared" si="20"/>
        <v>3.162999999999994</v>
      </c>
      <c r="H110" s="117">
        <f t="shared" si="22"/>
        <v>3.1779999999999995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25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3.1969999999999974</v>
      </c>
      <c r="F111" s="117">
        <f t="shared" si="13"/>
        <v>3.2119999999999997</v>
      </c>
      <c r="G111" s="117">
        <f t="shared" si="20"/>
        <v>3.1619999999999973</v>
      </c>
      <c r="H111" s="117">
        <f t="shared" si="22"/>
        <v>3.1769999999999996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25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3.1969999999999987</v>
      </c>
      <c r="F112" s="117">
        <f t="shared" si="13"/>
        <v>3.2119999999999997</v>
      </c>
      <c r="G112" s="117">
        <f t="shared" si="20"/>
        <v>3.1609999999999987</v>
      </c>
      <c r="H112" s="117">
        <f t="shared" si="22"/>
        <v>3.1759999999999997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25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3.1969999999999992</v>
      </c>
      <c r="F113" s="117">
        <f t="shared" si="13"/>
        <v>3.2119999999999997</v>
      </c>
      <c r="G113" s="117">
        <f t="shared" si="20"/>
        <v>3.1599999999999993</v>
      </c>
      <c r="H113" s="117">
        <f t="shared" si="22"/>
        <v>3.1749999999999998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25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3.1969999999999996</v>
      </c>
      <c r="F114" s="117">
        <f t="shared" si="13"/>
        <v>3.2119999999999997</v>
      </c>
      <c r="G114" s="117">
        <f t="shared" si="20"/>
        <v>3.1589999999999994</v>
      </c>
      <c r="H114" s="117">
        <f t="shared" si="22"/>
        <v>3.1739999999999995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25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3.1969999999999996</v>
      </c>
      <c r="F115" s="117">
        <f t="shared" si="13"/>
        <v>3.2119999999999997</v>
      </c>
      <c r="G115" s="117">
        <f t="shared" si="20"/>
        <v>3.1579999999999995</v>
      </c>
      <c r="H115" s="117">
        <f t="shared" si="22"/>
        <v>3.1729999999999996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25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3.1969999999999996</v>
      </c>
      <c r="F116" s="117">
        <f t="shared" si="13"/>
        <v>3.2119999999999997</v>
      </c>
      <c r="G116" s="117">
        <f t="shared" si="20"/>
        <v>3.1569999999999996</v>
      </c>
      <c r="H116" s="117">
        <f t="shared" si="22"/>
        <v>3.1719999999999997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25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3.1969999999999996</v>
      </c>
      <c r="F117" s="117">
        <f t="shared" si="13"/>
        <v>3.2119999999999997</v>
      </c>
      <c r="G117" s="117">
        <f t="shared" si="20"/>
        <v>3.1559999999999997</v>
      </c>
      <c r="H117" s="117">
        <f t="shared" si="22"/>
        <v>3.1709999999999998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25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3.1969999999999996</v>
      </c>
      <c r="F118" s="117">
        <f t="shared" ref="F118:F176" si="23">F117</f>
        <v>3.2119999999999997</v>
      </c>
      <c r="G118" s="117">
        <f t="shared" si="20"/>
        <v>3.1549999999999994</v>
      </c>
      <c r="H118" s="117">
        <f t="shared" si="22"/>
        <v>3.1699999999999995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25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3.1969999999999996</v>
      </c>
      <c r="F119" s="117">
        <f t="shared" si="23"/>
        <v>3.2119999999999997</v>
      </c>
      <c r="G119" s="117">
        <f t="shared" si="20"/>
        <v>3.1539999999999995</v>
      </c>
      <c r="H119" s="117">
        <f t="shared" si="22"/>
        <v>3.1689999999999996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25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3.1969999999999996</v>
      </c>
      <c r="F120" s="117">
        <f t="shared" si="23"/>
        <v>3.2119999999999997</v>
      </c>
      <c r="G120" s="117">
        <f t="shared" si="20"/>
        <v>3.1529999999999996</v>
      </c>
      <c r="H120" s="117">
        <f t="shared" si="22"/>
        <v>3.1679999999999997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25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3.1969999999999996</v>
      </c>
      <c r="F121" s="117">
        <f t="shared" si="23"/>
        <v>3.2119999999999997</v>
      </c>
      <c r="G121" s="117">
        <f t="shared" si="20"/>
        <v>3.1519999999999997</v>
      </c>
      <c r="H121" s="117">
        <f t="shared" si="22"/>
        <v>3.1669999999999998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25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3.1969999999999996</v>
      </c>
      <c r="F122" s="117">
        <f t="shared" si="23"/>
        <v>3.2119999999999997</v>
      </c>
      <c r="G122" s="117">
        <f t="shared" si="20"/>
        <v>3.1509999999999994</v>
      </c>
      <c r="H122" s="117">
        <f t="shared" si="22"/>
        <v>3.1659999999999995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25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3.1969999999999996</v>
      </c>
      <c r="F123" s="117">
        <f t="shared" si="23"/>
        <v>3.2119999999999997</v>
      </c>
      <c r="G123" s="117">
        <f t="shared" si="20"/>
        <v>3.1499999999999995</v>
      </c>
      <c r="H123" s="117">
        <f t="shared" si="22"/>
        <v>3.1649999999999996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25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3.1969999999999996</v>
      </c>
      <c r="F124" s="117">
        <f t="shared" si="23"/>
        <v>3.2119999999999997</v>
      </c>
      <c r="G124" s="117">
        <f t="shared" si="20"/>
        <v>3.1489999999999996</v>
      </c>
      <c r="H124" s="117">
        <f t="shared" si="22"/>
        <v>3.1639999999999997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25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3.1969999999999996</v>
      </c>
      <c r="F125" s="117">
        <f t="shared" si="23"/>
        <v>3.2119999999999997</v>
      </c>
      <c r="G125" s="117">
        <f t="shared" si="20"/>
        <v>3.1479999999999997</v>
      </c>
      <c r="H125" s="117">
        <f t="shared" si="22"/>
        <v>3.1629999999999998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25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3.1969999999999996</v>
      </c>
      <c r="F126" s="117">
        <f t="shared" si="23"/>
        <v>3.2119999999999997</v>
      </c>
      <c r="G126" s="117">
        <f t="shared" si="20"/>
        <v>3.1469999999999994</v>
      </c>
      <c r="H126" s="117">
        <f t="shared" si="22"/>
        <v>3.1619999999999995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25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3.1969999999999996</v>
      </c>
      <c r="F127" s="117">
        <f t="shared" si="23"/>
        <v>3.2119999999999997</v>
      </c>
      <c r="G127" s="117">
        <f t="shared" si="20"/>
        <v>3.1459999999999995</v>
      </c>
      <c r="H127" s="117">
        <f t="shared" si="22"/>
        <v>3.1609999999999996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25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3.1969999999999996</v>
      </c>
      <c r="F128" s="117">
        <f t="shared" si="23"/>
        <v>3.2119999999999997</v>
      </c>
      <c r="G128" s="117">
        <f t="shared" si="20"/>
        <v>3.1449999999999996</v>
      </c>
      <c r="H128" s="117">
        <f t="shared" si="22"/>
        <v>3.1599999999999997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25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3.1969999999999996</v>
      </c>
      <c r="F129" s="117">
        <f t="shared" si="23"/>
        <v>3.2119999999999997</v>
      </c>
      <c r="G129" s="117">
        <f t="shared" si="20"/>
        <v>3.1439999999999997</v>
      </c>
      <c r="H129" s="117">
        <f t="shared" si="22"/>
        <v>3.1589999999999998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25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3.1969999999999996</v>
      </c>
      <c r="F130" s="117">
        <f t="shared" si="23"/>
        <v>3.2119999999999997</v>
      </c>
      <c r="G130" s="117">
        <f t="shared" si="20"/>
        <v>3.1429999999999993</v>
      </c>
      <c r="H130" s="117">
        <f t="shared" si="22"/>
        <v>3.1579999999999995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25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3.1969999999999996</v>
      </c>
      <c r="F131" s="117">
        <f t="shared" si="23"/>
        <v>3.2119999999999997</v>
      </c>
      <c r="G131" s="117">
        <f t="shared" si="20"/>
        <v>3.1419999999999995</v>
      </c>
      <c r="H131" s="117">
        <f t="shared" si="22"/>
        <v>3.1569999999999996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25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3.1969999999999996</v>
      </c>
      <c r="F132" s="117">
        <f t="shared" si="23"/>
        <v>3.2119999999999997</v>
      </c>
      <c r="G132" s="117">
        <f t="shared" si="20"/>
        <v>3.1409999999999996</v>
      </c>
      <c r="H132" s="117">
        <f t="shared" si="22"/>
        <v>3.1559999999999997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25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3.1969999999999996</v>
      </c>
      <c r="F133" s="117">
        <f t="shared" si="23"/>
        <v>3.2119999999999997</v>
      </c>
      <c r="G133" s="117">
        <f t="shared" si="20"/>
        <v>3.1399999999999997</v>
      </c>
      <c r="H133" s="117">
        <f t="shared" si="22"/>
        <v>3.1549999999999998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25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3.1969999999999996</v>
      </c>
      <c r="F134" s="117">
        <f t="shared" si="23"/>
        <v>3.2119999999999997</v>
      </c>
      <c r="G134" s="117">
        <f t="shared" si="20"/>
        <v>3.1389999999999993</v>
      </c>
      <c r="H134" s="117">
        <f t="shared" si="22"/>
        <v>3.1539999999999995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25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3.1969999999999996</v>
      </c>
      <c r="F135" s="117">
        <f t="shared" si="23"/>
        <v>3.2119999999999997</v>
      </c>
      <c r="G135" s="117">
        <f t="shared" si="20"/>
        <v>3.1379999999999995</v>
      </c>
      <c r="H135" s="117">
        <f t="shared" si="22"/>
        <v>3.1529999999999996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25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3.1969999999999996</v>
      </c>
      <c r="F136" s="117">
        <f t="shared" si="23"/>
        <v>3.2119999999999997</v>
      </c>
      <c r="G136" s="117">
        <f t="shared" si="20"/>
        <v>3.1369999999999996</v>
      </c>
      <c r="H136" s="117">
        <f t="shared" si="22"/>
        <v>3.1519999999999997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25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3.1969999999999996</v>
      </c>
      <c r="F137" s="117">
        <f t="shared" si="23"/>
        <v>3.2119999999999997</v>
      </c>
      <c r="G137" s="117">
        <f t="shared" si="20"/>
        <v>3.1359999999999997</v>
      </c>
      <c r="H137" s="117">
        <f t="shared" si="22"/>
        <v>3.1509999999999998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25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3.1969999999999996</v>
      </c>
      <c r="F138" s="117">
        <f t="shared" si="23"/>
        <v>3.2119999999999997</v>
      </c>
      <c r="G138" s="117">
        <f t="shared" si="20"/>
        <v>3.1349999999999993</v>
      </c>
      <c r="H138" s="117">
        <f t="shared" si="22"/>
        <v>3.1499999999999995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25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3.1969999999999996</v>
      </c>
      <c r="F139" s="117">
        <f t="shared" si="23"/>
        <v>3.2119999999999997</v>
      </c>
      <c r="G139" s="117">
        <f t="shared" si="20"/>
        <v>3.1339999999999995</v>
      </c>
      <c r="H139" s="117">
        <f t="shared" si="22"/>
        <v>3.1489999999999996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25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3.1969999999999996</v>
      </c>
      <c r="F140" s="117">
        <f t="shared" si="23"/>
        <v>3.2119999999999997</v>
      </c>
      <c r="G140" s="117">
        <f t="shared" ref="G140:G171" si="25">(H140-$H$74)/(1-EXP(-1/G$74))*(1-EXP(-$B140/G$74))</f>
        <v>3.1329999999999996</v>
      </c>
      <c r="H140" s="117">
        <f t="shared" si="22"/>
        <v>3.1479999999999997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25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3.1969999999999996</v>
      </c>
      <c r="F141" s="117">
        <f t="shared" si="23"/>
        <v>3.2119999999999997</v>
      </c>
      <c r="G141" s="117">
        <f t="shared" si="25"/>
        <v>3.1319999999999997</v>
      </c>
      <c r="H141" s="117">
        <f t="shared" ref="H141:H175" si="28">$H$68*B141+$H$69</f>
        <v>3.1469999999999998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25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3.1969999999999996</v>
      </c>
      <c r="F142" s="117">
        <f t="shared" si="23"/>
        <v>3.2119999999999997</v>
      </c>
      <c r="G142" s="117">
        <f t="shared" si="25"/>
        <v>3.1309999999999993</v>
      </c>
      <c r="H142" s="117">
        <f t="shared" si="28"/>
        <v>3.1459999999999995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25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3.1969999999999996</v>
      </c>
      <c r="F143" s="117">
        <f t="shared" si="23"/>
        <v>3.2119999999999997</v>
      </c>
      <c r="G143" s="117">
        <f t="shared" si="25"/>
        <v>3.1299999999999994</v>
      </c>
      <c r="H143" s="117">
        <f t="shared" si="28"/>
        <v>3.1449999999999996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25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3.1969999999999996</v>
      </c>
      <c r="F144" s="117">
        <f t="shared" si="23"/>
        <v>3.2119999999999997</v>
      </c>
      <c r="G144" s="117">
        <f t="shared" si="25"/>
        <v>3.1289999999999996</v>
      </c>
      <c r="H144" s="117">
        <f t="shared" si="28"/>
        <v>3.1439999999999997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25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3.1969999999999996</v>
      </c>
      <c r="F145" s="117">
        <f t="shared" si="23"/>
        <v>3.2119999999999997</v>
      </c>
      <c r="G145" s="117">
        <f t="shared" si="25"/>
        <v>3.1279999999999997</v>
      </c>
      <c r="H145" s="117">
        <f t="shared" si="28"/>
        <v>3.1429999999999998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25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3.1969999999999996</v>
      </c>
      <c r="F146" s="117">
        <f t="shared" si="23"/>
        <v>3.2119999999999997</v>
      </c>
      <c r="G146" s="117">
        <f t="shared" si="25"/>
        <v>3.1269999999999993</v>
      </c>
      <c r="H146" s="117">
        <f t="shared" si="28"/>
        <v>3.1419999999999995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25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3.1969999999999996</v>
      </c>
      <c r="F147" s="117">
        <f t="shared" si="23"/>
        <v>3.2119999999999997</v>
      </c>
      <c r="G147" s="117">
        <f t="shared" si="25"/>
        <v>3.1259999999999994</v>
      </c>
      <c r="H147" s="117">
        <f t="shared" si="28"/>
        <v>3.1409999999999996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25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3.1969999999999996</v>
      </c>
      <c r="F148" s="117">
        <f t="shared" si="23"/>
        <v>3.2119999999999997</v>
      </c>
      <c r="G148" s="117">
        <f t="shared" si="25"/>
        <v>3.1249999999999996</v>
      </c>
      <c r="H148" s="117">
        <f t="shared" si="28"/>
        <v>3.1399999999999997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25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3.1969999999999996</v>
      </c>
      <c r="F149" s="117">
        <f t="shared" si="23"/>
        <v>3.2119999999999997</v>
      </c>
      <c r="G149" s="117">
        <f t="shared" si="25"/>
        <v>3.1239999999999997</v>
      </c>
      <c r="H149" s="117">
        <f t="shared" si="28"/>
        <v>3.1389999999999998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25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3.1969999999999996</v>
      </c>
      <c r="F150" s="117">
        <f t="shared" si="23"/>
        <v>3.2119999999999997</v>
      </c>
      <c r="G150" s="117">
        <f t="shared" si="25"/>
        <v>3.1229999999999993</v>
      </c>
      <c r="H150" s="117">
        <f t="shared" si="28"/>
        <v>3.1379999999999995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25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3.1969999999999996</v>
      </c>
      <c r="F151" s="117">
        <f t="shared" si="23"/>
        <v>3.2119999999999997</v>
      </c>
      <c r="G151" s="117">
        <f t="shared" si="25"/>
        <v>3.1219999999999994</v>
      </c>
      <c r="H151" s="117">
        <f t="shared" si="28"/>
        <v>3.1369999999999996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25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3.1969999999999996</v>
      </c>
      <c r="F152" s="117">
        <f t="shared" si="23"/>
        <v>3.2119999999999997</v>
      </c>
      <c r="G152" s="117">
        <f t="shared" si="25"/>
        <v>3.1209999999999996</v>
      </c>
      <c r="H152" s="117">
        <f t="shared" si="28"/>
        <v>3.1359999999999997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25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3.1969999999999996</v>
      </c>
      <c r="F153" s="117">
        <f t="shared" si="23"/>
        <v>3.2119999999999997</v>
      </c>
      <c r="G153" s="117">
        <f t="shared" si="25"/>
        <v>3.1199999999999997</v>
      </c>
      <c r="H153" s="117">
        <f t="shared" si="28"/>
        <v>3.1349999999999998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25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3.1969999999999996</v>
      </c>
      <c r="F154" s="117">
        <f t="shared" si="23"/>
        <v>3.2119999999999997</v>
      </c>
      <c r="G154" s="117">
        <f t="shared" si="25"/>
        <v>3.1189999999999993</v>
      </c>
      <c r="H154" s="117">
        <f t="shared" si="28"/>
        <v>3.1339999999999995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25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3.1969999999999996</v>
      </c>
      <c r="F155" s="117">
        <f t="shared" si="23"/>
        <v>3.2119999999999997</v>
      </c>
      <c r="G155" s="117">
        <f t="shared" si="25"/>
        <v>3.1179999999999994</v>
      </c>
      <c r="H155" s="117">
        <f t="shared" si="28"/>
        <v>3.1329999999999996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25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3.1969999999999996</v>
      </c>
      <c r="F156" s="117">
        <f t="shared" si="23"/>
        <v>3.2119999999999997</v>
      </c>
      <c r="G156" s="117">
        <f t="shared" si="25"/>
        <v>3.1169999999999995</v>
      </c>
      <c r="H156" s="117">
        <f t="shared" si="28"/>
        <v>3.1319999999999997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25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3.1969999999999996</v>
      </c>
      <c r="F157" s="117">
        <f t="shared" si="23"/>
        <v>3.2119999999999997</v>
      </c>
      <c r="G157" s="117">
        <f t="shared" si="25"/>
        <v>3.1159999999999997</v>
      </c>
      <c r="H157" s="117">
        <f t="shared" si="28"/>
        <v>3.1309999999999998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25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3.1969999999999996</v>
      </c>
      <c r="F158" s="117">
        <f t="shared" si="23"/>
        <v>3.2119999999999997</v>
      </c>
      <c r="G158" s="117">
        <f t="shared" si="25"/>
        <v>3.1149999999999993</v>
      </c>
      <c r="H158" s="117">
        <f t="shared" si="28"/>
        <v>3.1299999999999994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25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3.1969999999999996</v>
      </c>
      <c r="F159" s="117">
        <f t="shared" si="23"/>
        <v>3.2119999999999997</v>
      </c>
      <c r="G159" s="117">
        <f t="shared" si="25"/>
        <v>3.1139999999999994</v>
      </c>
      <c r="H159" s="117">
        <f t="shared" si="28"/>
        <v>3.1289999999999996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25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3.1969999999999996</v>
      </c>
      <c r="F160" s="117">
        <f t="shared" si="23"/>
        <v>3.2119999999999997</v>
      </c>
      <c r="G160" s="117">
        <f t="shared" si="25"/>
        <v>3.1129999999999995</v>
      </c>
      <c r="H160" s="117">
        <f t="shared" si="28"/>
        <v>3.1279999999999997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25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3.1969999999999996</v>
      </c>
      <c r="F161" s="117">
        <f t="shared" si="23"/>
        <v>3.2119999999999997</v>
      </c>
      <c r="G161" s="117">
        <f t="shared" si="25"/>
        <v>3.1119999999999997</v>
      </c>
      <c r="H161" s="117">
        <f t="shared" si="28"/>
        <v>3.1269999999999998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25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3.1969999999999996</v>
      </c>
      <c r="F162" s="117">
        <f t="shared" si="23"/>
        <v>3.2119999999999997</v>
      </c>
      <c r="G162" s="117">
        <f t="shared" si="25"/>
        <v>3.1109999999999993</v>
      </c>
      <c r="H162" s="117">
        <f t="shared" si="28"/>
        <v>3.1259999999999994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25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3.1969999999999996</v>
      </c>
      <c r="F163" s="117">
        <f t="shared" si="23"/>
        <v>3.2119999999999997</v>
      </c>
      <c r="G163" s="117">
        <f t="shared" si="25"/>
        <v>3.1099999999999994</v>
      </c>
      <c r="H163" s="117">
        <f t="shared" si="28"/>
        <v>3.1249999999999996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25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3.1969999999999996</v>
      </c>
      <c r="F164" s="117">
        <f t="shared" si="23"/>
        <v>3.2119999999999997</v>
      </c>
      <c r="G164" s="117">
        <f t="shared" si="25"/>
        <v>3.1089999999999995</v>
      </c>
      <c r="H164" s="117">
        <f t="shared" si="28"/>
        <v>3.1239999999999997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25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3.1969999999999996</v>
      </c>
      <c r="F165" s="117">
        <f t="shared" si="23"/>
        <v>3.2119999999999997</v>
      </c>
      <c r="G165" s="117">
        <f t="shared" si="25"/>
        <v>3.1079999999999997</v>
      </c>
      <c r="H165" s="117">
        <f t="shared" si="28"/>
        <v>3.1229999999999998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25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3.1969999999999996</v>
      </c>
      <c r="F166" s="117">
        <f t="shared" si="23"/>
        <v>3.2119999999999997</v>
      </c>
      <c r="G166" s="117">
        <f t="shared" si="25"/>
        <v>3.1069999999999993</v>
      </c>
      <c r="H166" s="117">
        <f t="shared" si="28"/>
        <v>3.1219999999999994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25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3.1969999999999996</v>
      </c>
      <c r="F167" s="117">
        <f t="shared" si="23"/>
        <v>3.2119999999999997</v>
      </c>
      <c r="G167" s="117">
        <f t="shared" si="25"/>
        <v>3.1059999999999994</v>
      </c>
      <c r="H167" s="117">
        <f t="shared" si="28"/>
        <v>3.1209999999999996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25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3.1969999999999996</v>
      </c>
      <c r="F168" s="117">
        <f t="shared" si="23"/>
        <v>3.2119999999999997</v>
      </c>
      <c r="G168" s="117">
        <f t="shared" si="25"/>
        <v>3.1049999999999995</v>
      </c>
      <c r="H168" s="117">
        <f t="shared" si="28"/>
        <v>3.1199999999999997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25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3.1969999999999996</v>
      </c>
      <c r="F169" s="117">
        <f t="shared" si="23"/>
        <v>3.2119999999999997</v>
      </c>
      <c r="G169" s="117">
        <f t="shared" si="25"/>
        <v>3.1039999999999996</v>
      </c>
      <c r="H169" s="117">
        <f t="shared" si="28"/>
        <v>3.1189999999999998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25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3.1969999999999996</v>
      </c>
      <c r="F170" s="117">
        <f t="shared" si="23"/>
        <v>3.2119999999999997</v>
      </c>
      <c r="G170" s="117">
        <f t="shared" si="25"/>
        <v>3.1029999999999993</v>
      </c>
      <c r="H170" s="117">
        <f t="shared" si="28"/>
        <v>3.1179999999999994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25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3.1969999999999996</v>
      </c>
      <c r="F171" s="117">
        <f t="shared" si="23"/>
        <v>3.2119999999999997</v>
      </c>
      <c r="G171" s="117">
        <f t="shared" si="25"/>
        <v>3.1019999999999994</v>
      </c>
      <c r="H171" s="117">
        <f t="shared" si="28"/>
        <v>3.1169999999999995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25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3.1969999999999996</v>
      </c>
      <c r="F172" s="117">
        <f t="shared" si="23"/>
        <v>3.2119999999999997</v>
      </c>
      <c r="G172" s="117">
        <f>(H172-$H$74)/(1-EXP(-1/G$74))*(1-EXP(-$B172/G$74))</f>
        <v>3.1009999999999995</v>
      </c>
      <c r="H172" s="117">
        <f t="shared" si="28"/>
        <v>3.1159999999999997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25">
      <c r="A173" s="3">
        <f t="shared" si="26"/>
        <v>1</v>
      </c>
      <c r="B173" s="113">
        <f t="shared" si="35"/>
        <v>0.97000000000000064</v>
      </c>
      <c r="C173" s="117">
        <f>$B$18/(1-EXP(-1/$C$74))*(1-EXP(-B173/$C$74))</f>
        <v>1.2949421392893765</v>
      </c>
      <c r="D173" s="10">
        <f t="shared" si="36"/>
        <v>0.65</v>
      </c>
      <c r="E173" s="117">
        <f t="shared" si="24"/>
        <v>3.1969999999999996</v>
      </c>
      <c r="F173" s="117">
        <f t="shared" si="23"/>
        <v>3.2119999999999997</v>
      </c>
      <c r="G173" s="117">
        <f>(H173-$H$74)/(1-EXP(-1/G$74))*(1-EXP(-$B173/G$74))</f>
        <v>3.0999999999999996</v>
      </c>
      <c r="H173" s="117">
        <f t="shared" si="28"/>
        <v>3.1149999999999998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25">
      <c r="A174" s="3">
        <f t="shared" si="26"/>
        <v>1</v>
      </c>
      <c r="B174" s="113">
        <f t="shared" si="35"/>
        <v>0.98000000000000065</v>
      </c>
      <c r="C174" s="117">
        <f>$B$18/(1-EXP(-1/$C$74))*(1-EXP(-B174/$C$74))</f>
        <v>1.2966845930342292</v>
      </c>
      <c r="D174" s="10">
        <f t="shared" si="36"/>
        <v>0.65</v>
      </c>
      <c r="E174" s="117">
        <f t="shared" si="24"/>
        <v>3.1969999999999996</v>
      </c>
      <c r="F174" s="117">
        <f t="shared" si="23"/>
        <v>3.2119999999999997</v>
      </c>
      <c r="G174" s="117">
        <f>(H174-$H$74)/(1-EXP(-1/G$74))*(1-EXP(-$B174/G$74))</f>
        <v>3.0989999999999993</v>
      </c>
      <c r="H174" s="117">
        <f t="shared" si="28"/>
        <v>3.1139999999999994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25">
      <c r="A175" s="3">
        <f t="shared" si="26"/>
        <v>1</v>
      </c>
      <c r="B175" s="113">
        <f t="shared" si="35"/>
        <v>0.99000000000000066</v>
      </c>
      <c r="C175" s="117">
        <f>$B$18/(1-EXP(-1/$C$74))*(1-EXP(-B175/$C$74))</f>
        <v>1.298369922350596</v>
      </c>
      <c r="D175" s="10">
        <f t="shared" si="36"/>
        <v>0.65</v>
      </c>
      <c r="E175" s="117">
        <f t="shared" si="24"/>
        <v>3.1969999999999996</v>
      </c>
      <c r="F175" s="117">
        <f t="shared" si="23"/>
        <v>3.2119999999999997</v>
      </c>
      <c r="G175" s="117">
        <f>(H175-$H$74)/(1-EXP(-1/G$74))*(1-EXP(-$B175/G$74))</f>
        <v>3.0979999999999994</v>
      </c>
      <c r="H175" s="117">
        <f t="shared" si="28"/>
        <v>3.1129999999999995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25">
      <c r="A176" s="3">
        <f t="shared" si="26"/>
        <v>1</v>
      </c>
      <c r="B176" s="113">
        <f t="shared" si="35"/>
        <v>1.0000000000000007</v>
      </c>
      <c r="C176" s="117">
        <f>$D$11*B176+$D$12</f>
        <v>1.3000000000000043</v>
      </c>
      <c r="D176" s="10">
        <f t="shared" si="36"/>
        <v>0.65</v>
      </c>
      <c r="E176" s="117">
        <f t="shared" si="24"/>
        <v>3.1969999999999996</v>
      </c>
      <c r="F176" s="117">
        <f t="shared" si="23"/>
        <v>3.2119999999999997</v>
      </c>
      <c r="G176" s="117">
        <f>B176*$H$41+$H$42</f>
        <v>3.097999999999999</v>
      </c>
      <c r="H176" s="117">
        <f>H175</f>
        <v>3.1129999999999995</v>
      </c>
      <c r="I176" s="116">
        <f>IF($B$7=constants!$C$60,G176,IF($B$8=constants!$C$60,C176,E176))</f>
        <v>1.3000000000000043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2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3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25">
      <c r="A177" s="3">
        <f t="shared" si="26"/>
        <v>1</v>
      </c>
      <c r="B177" s="113">
        <f t="shared" si="35"/>
        <v>1.0100000000000007</v>
      </c>
      <c r="C177" s="117">
        <f>$D$11*$B177+$D$12</f>
        <v>1.3677200000000047</v>
      </c>
      <c r="D177" s="10">
        <f t="shared" si="36"/>
        <v>0.65</v>
      </c>
      <c r="E177" s="117">
        <f>$K$11*$B177+$K$12</f>
        <v>3.2200300000000004</v>
      </c>
      <c r="F177" s="117">
        <f t="shared" ref="F177:F208" si="44">E177+$F$74</f>
        <v>3.2350300000000005</v>
      </c>
      <c r="G177" s="117">
        <f t="shared" ref="G177:G200" si="45">B177*$H$41+$H$42</f>
        <v>3.093799999999999</v>
      </c>
      <c r="H177" s="117">
        <f t="shared" ref="H177:H240" si="46">H176</f>
        <v>3.1129999999999995</v>
      </c>
      <c r="I177" s="116">
        <f>IF($B$7=constants!$C$60,G177,IF($B$8=constants!$C$60,C177,E177))</f>
        <v>1.3677200000000047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2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3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25">
      <c r="A178" s="3">
        <f t="shared" si="26"/>
        <v>1</v>
      </c>
      <c r="B178" s="113">
        <f t="shared" si="35"/>
        <v>1.0200000000000007</v>
      </c>
      <c r="C178" s="117">
        <f t="shared" ref="C178:C200" si="47">$D$11*B178+$D$12</f>
        <v>1.4354400000000043</v>
      </c>
      <c r="D178" s="10">
        <f t="shared" si="36"/>
        <v>0.65</v>
      </c>
      <c r="E178" s="117">
        <f t="shared" ref="E178:E241" si="48">$K$11*$B178+$K$12</f>
        <v>3.2280600000000002</v>
      </c>
      <c r="F178" s="117">
        <f t="shared" si="44"/>
        <v>3.2430600000000003</v>
      </c>
      <c r="G178" s="117">
        <f t="shared" si="45"/>
        <v>3.089599999999999</v>
      </c>
      <c r="H178" s="117">
        <f t="shared" si="46"/>
        <v>3.1129999999999995</v>
      </c>
      <c r="I178" s="116">
        <f>IF($B$7=constants!$C$60,G178,IF($B$8=constants!$C$60,C178,E178))</f>
        <v>1.4354400000000043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2"/>
        <v>0</v>
      </c>
      <c r="M178" s="126">
        <f t="shared" ref="M178:M241" si="49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3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25">
      <c r="A179" s="3">
        <f t="shared" si="26"/>
        <v>1</v>
      </c>
      <c r="B179" s="113">
        <f t="shared" si="35"/>
        <v>1.0300000000000007</v>
      </c>
      <c r="C179" s="117">
        <f t="shared" si="47"/>
        <v>1.5031600000000047</v>
      </c>
      <c r="D179" s="10">
        <f t="shared" si="36"/>
        <v>0.65</v>
      </c>
      <c r="E179" s="117">
        <f t="shared" si="48"/>
        <v>3.2360900000000004</v>
      </c>
      <c r="F179" s="117">
        <f t="shared" si="44"/>
        <v>3.2510900000000005</v>
      </c>
      <c r="G179" s="117">
        <f t="shared" si="45"/>
        <v>3.085399999999999</v>
      </c>
      <c r="H179" s="117">
        <f t="shared" si="46"/>
        <v>3.1129999999999995</v>
      </c>
      <c r="I179" s="116">
        <f>IF($B$7=constants!$C$60,G179,IF($B$8=constants!$C$60,C179,E179))</f>
        <v>1.5031600000000047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2"/>
        <v>0</v>
      </c>
      <c r="M179" s="126">
        <f t="shared" si="49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3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25">
      <c r="A180" s="3">
        <f t="shared" si="26"/>
        <v>1</v>
      </c>
      <c r="B180" s="113">
        <f t="shared" si="35"/>
        <v>1.0400000000000007</v>
      </c>
      <c r="C180" s="117">
        <f t="shared" si="47"/>
        <v>1.5708800000000043</v>
      </c>
      <c r="D180" s="10">
        <f t="shared" si="36"/>
        <v>0.65</v>
      </c>
      <c r="E180" s="117">
        <f t="shared" si="48"/>
        <v>3.2441200000000006</v>
      </c>
      <c r="F180" s="117">
        <f t="shared" si="44"/>
        <v>3.2591200000000007</v>
      </c>
      <c r="G180" s="117">
        <f t="shared" si="45"/>
        <v>3.0811999999999991</v>
      </c>
      <c r="H180" s="117">
        <f t="shared" si="46"/>
        <v>3.1129999999999995</v>
      </c>
      <c r="I180" s="116">
        <f>IF($B$7=constants!$C$60,G180,IF($B$8=constants!$C$60,C180,E180))</f>
        <v>1.5708800000000043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2"/>
        <v>0</v>
      </c>
      <c r="M180" s="126">
        <f t="shared" si="49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3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25">
      <c r="A181" s="3">
        <f t="shared" si="26"/>
        <v>1</v>
      </c>
      <c r="B181" s="113">
        <f t="shared" si="35"/>
        <v>1.0500000000000007</v>
      </c>
      <c r="C181" s="117">
        <f t="shared" si="47"/>
        <v>1.6386000000000047</v>
      </c>
      <c r="D181" s="10">
        <f t="shared" si="36"/>
        <v>0.65</v>
      </c>
      <c r="E181" s="117">
        <f t="shared" si="48"/>
        <v>3.2521500000000003</v>
      </c>
      <c r="F181" s="117">
        <f t="shared" si="44"/>
        <v>3.2671500000000004</v>
      </c>
      <c r="G181" s="117">
        <f t="shared" si="45"/>
        <v>3.0769999999999991</v>
      </c>
      <c r="H181" s="117">
        <f t="shared" si="46"/>
        <v>3.1129999999999995</v>
      </c>
      <c r="I181" s="116">
        <f>IF($B$7=constants!$C$60,G181,IF($B$8=constants!$C$60,C181,E181))</f>
        <v>1.6386000000000047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2"/>
        <v>0</v>
      </c>
      <c r="M181" s="126">
        <f t="shared" si="49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3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25">
      <c r="A182" s="3">
        <f t="shared" si="26"/>
        <v>1</v>
      </c>
      <c r="B182" s="113">
        <f t="shared" si="35"/>
        <v>1.0600000000000007</v>
      </c>
      <c r="C182" s="117">
        <f t="shared" si="47"/>
        <v>1.7063200000000043</v>
      </c>
      <c r="D182" s="10">
        <f t="shared" si="36"/>
        <v>0.65</v>
      </c>
      <c r="E182" s="117">
        <f t="shared" si="48"/>
        <v>3.2601800000000001</v>
      </c>
      <c r="F182" s="117">
        <f t="shared" si="44"/>
        <v>3.2751800000000002</v>
      </c>
      <c r="G182" s="117">
        <f t="shared" si="45"/>
        <v>3.0727999999999991</v>
      </c>
      <c r="H182" s="117">
        <f t="shared" si="46"/>
        <v>3.1129999999999995</v>
      </c>
      <c r="I182" s="116">
        <f>IF($B$7=constants!$C$60,G182,IF($B$8=constants!$C$60,C182,E182))</f>
        <v>1.7063200000000043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2"/>
        <v>0</v>
      </c>
      <c r="M182" s="126">
        <f t="shared" si="49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3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25">
      <c r="A183" s="3">
        <f t="shared" si="26"/>
        <v>1</v>
      </c>
      <c r="B183" s="113">
        <f t="shared" si="35"/>
        <v>1.0700000000000007</v>
      </c>
      <c r="C183" s="117">
        <f t="shared" si="47"/>
        <v>1.7740400000000047</v>
      </c>
      <c r="D183" s="10">
        <f t="shared" si="36"/>
        <v>0.65</v>
      </c>
      <c r="E183" s="117">
        <f t="shared" si="48"/>
        <v>3.2682100000000003</v>
      </c>
      <c r="F183" s="117">
        <f t="shared" si="44"/>
        <v>3.2832100000000004</v>
      </c>
      <c r="G183" s="117">
        <f t="shared" si="45"/>
        <v>3.0685999999999991</v>
      </c>
      <c r="H183" s="117">
        <f t="shared" si="46"/>
        <v>3.1129999999999995</v>
      </c>
      <c r="I183" s="116">
        <f>IF($B$7=constants!$C$60,G183,IF($B$8=constants!$C$60,C183,E183))</f>
        <v>1.7740400000000047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2"/>
        <v>0</v>
      </c>
      <c r="M183" s="126">
        <f t="shared" si="49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3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25">
      <c r="A184" s="3">
        <f t="shared" si="26"/>
        <v>1</v>
      </c>
      <c r="B184" s="113">
        <f t="shared" si="35"/>
        <v>1.0800000000000007</v>
      </c>
      <c r="C184" s="117">
        <f t="shared" si="47"/>
        <v>1.8417600000000052</v>
      </c>
      <c r="D184" s="10">
        <f t="shared" si="36"/>
        <v>0.65</v>
      </c>
      <c r="E184" s="117">
        <f t="shared" si="48"/>
        <v>3.2762400000000005</v>
      </c>
      <c r="F184" s="117">
        <f t="shared" si="44"/>
        <v>3.2912400000000006</v>
      </c>
      <c r="G184" s="117">
        <f t="shared" si="45"/>
        <v>3.0643999999999991</v>
      </c>
      <c r="H184" s="117">
        <f t="shared" si="46"/>
        <v>3.1129999999999995</v>
      </c>
      <c r="I184" s="116">
        <f>IF($B$7=constants!$C$60,G184,IF($B$8=constants!$C$60,C184,E184))</f>
        <v>1.8417600000000052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2"/>
        <v>0</v>
      </c>
      <c r="M184" s="126">
        <f t="shared" si="49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3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25">
      <c r="A185" s="3">
        <f t="shared" si="26"/>
        <v>1</v>
      </c>
      <c r="B185" s="113">
        <f t="shared" si="35"/>
        <v>1.0900000000000007</v>
      </c>
      <c r="C185" s="117">
        <f t="shared" si="47"/>
        <v>1.9094800000000047</v>
      </c>
      <c r="D185" s="10">
        <f t="shared" si="36"/>
        <v>0.65</v>
      </c>
      <c r="E185" s="117">
        <f t="shared" si="48"/>
        <v>3.2842700000000002</v>
      </c>
      <c r="F185" s="117">
        <f t="shared" si="44"/>
        <v>3.2992700000000004</v>
      </c>
      <c r="G185" s="117">
        <f t="shared" si="45"/>
        <v>3.0601999999999991</v>
      </c>
      <c r="H185" s="117">
        <f t="shared" si="46"/>
        <v>3.1129999999999995</v>
      </c>
      <c r="I185" s="116">
        <f>IF($B$7=constants!$C$60,G185,IF($B$8=constants!$C$60,C185,E185))</f>
        <v>1.9094800000000047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2"/>
        <v>0</v>
      </c>
      <c r="M185" s="126">
        <f t="shared" si="49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3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25">
      <c r="A186" s="3">
        <f t="shared" si="26"/>
        <v>1</v>
      </c>
      <c r="B186" s="113">
        <f t="shared" si="35"/>
        <v>1.1000000000000008</v>
      </c>
      <c r="C186" s="117">
        <f t="shared" si="47"/>
        <v>1.9772000000000052</v>
      </c>
      <c r="D186" s="10">
        <f t="shared" si="36"/>
        <v>0.65</v>
      </c>
      <c r="E186" s="117">
        <f t="shared" si="48"/>
        <v>3.2923000000000004</v>
      </c>
      <c r="F186" s="117">
        <f t="shared" si="44"/>
        <v>3.3073000000000006</v>
      </c>
      <c r="G186" s="117">
        <f t="shared" si="45"/>
        <v>3.0559999999999992</v>
      </c>
      <c r="H186" s="117">
        <f t="shared" si="46"/>
        <v>3.1129999999999995</v>
      </c>
      <c r="I186" s="116">
        <f>IF($B$7=constants!$C$60,G186,IF($B$8=constants!$C$60,C186,E186))</f>
        <v>1.9772000000000052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2"/>
        <v>0</v>
      </c>
      <c r="M186" s="126">
        <f t="shared" si="49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3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25">
      <c r="A187" s="3">
        <f t="shared" si="26"/>
        <v>1</v>
      </c>
      <c r="B187" s="113">
        <f t="shared" si="35"/>
        <v>1.1100000000000008</v>
      </c>
      <c r="C187" s="117">
        <f t="shared" si="47"/>
        <v>2.0449200000000047</v>
      </c>
      <c r="D187" s="10">
        <f t="shared" si="36"/>
        <v>0.65</v>
      </c>
      <c r="E187" s="117">
        <f t="shared" si="48"/>
        <v>3.3003300000000002</v>
      </c>
      <c r="F187" s="117">
        <f t="shared" si="44"/>
        <v>3.3153300000000003</v>
      </c>
      <c r="G187" s="117">
        <f t="shared" si="45"/>
        <v>3.0517999999999992</v>
      </c>
      <c r="H187" s="117">
        <f t="shared" si="46"/>
        <v>3.1129999999999995</v>
      </c>
      <c r="I187" s="116">
        <f>IF($B$7=constants!$C$60,G187,IF($B$8=constants!$C$60,C187,E187))</f>
        <v>2.0449200000000047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2"/>
        <v>0</v>
      </c>
      <c r="M187" s="126">
        <f t="shared" si="49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3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25">
      <c r="A188" s="3">
        <f t="shared" si="26"/>
        <v>1</v>
      </c>
      <c r="B188" s="113">
        <f t="shared" si="35"/>
        <v>1.1200000000000008</v>
      </c>
      <c r="C188" s="117">
        <f t="shared" si="47"/>
        <v>2.1126400000000052</v>
      </c>
      <c r="D188" s="10">
        <f t="shared" si="36"/>
        <v>0.65</v>
      </c>
      <c r="E188" s="117">
        <f t="shared" si="48"/>
        <v>3.3083600000000004</v>
      </c>
      <c r="F188" s="117">
        <f t="shared" si="44"/>
        <v>3.3233600000000005</v>
      </c>
      <c r="G188" s="117">
        <f t="shared" si="45"/>
        <v>3.0475999999999992</v>
      </c>
      <c r="H188" s="117">
        <f t="shared" si="46"/>
        <v>3.1129999999999995</v>
      </c>
      <c r="I188" s="116">
        <f>IF($B$7=constants!$C$60,G188,IF($B$8=constants!$C$60,C188,E188))</f>
        <v>2.1126400000000052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2"/>
        <v>0</v>
      </c>
      <c r="M188" s="126">
        <f t="shared" si="49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3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25">
      <c r="A189" s="3">
        <f t="shared" si="26"/>
        <v>1</v>
      </c>
      <c r="B189" s="113">
        <f t="shared" si="35"/>
        <v>1.1300000000000008</v>
      </c>
      <c r="C189" s="117">
        <f t="shared" si="47"/>
        <v>2.1803600000000047</v>
      </c>
      <c r="D189" s="10">
        <f t="shared" si="36"/>
        <v>0.65</v>
      </c>
      <c r="E189" s="117">
        <f t="shared" si="48"/>
        <v>3.3163900000000002</v>
      </c>
      <c r="F189" s="117">
        <f t="shared" si="44"/>
        <v>3.3313900000000003</v>
      </c>
      <c r="G189" s="117">
        <f t="shared" si="45"/>
        <v>3.0433999999999992</v>
      </c>
      <c r="H189" s="117">
        <f t="shared" si="46"/>
        <v>3.1129999999999995</v>
      </c>
      <c r="I189" s="116">
        <f>IF($B$7=constants!$C$60,G189,IF($B$8=constants!$C$60,C189,E189))</f>
        <v>2.1803600000000047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2"/>
        <v>0</v>
      </c>
      <c r="M189" s="126">
        <f t="shared" si="49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3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25">
      <c r="A190" s="3">
        <f t="shared" si="26"/>
        <v>1</v>
      </c>
      <c r="B190" s="113">
        <f t="shared" si="35"/>
        <v>1.1400000000000008</v>
      </c>
      <c r="C190" s="117">
        <f t="shared" si="47"/>
        <v>2.2480800000000052</v>
      </c>
      <c r="D190" s="10">
        <f t="shared" si="36"/>
        <v>0.65</v>
      </c>
      <c r="E190" s="117">
        <f t="shared" si="48"/>
        <v>3.3244200000000004</v>
      </c>
      <c r="F190" s="117">
        <f t="shared" si="44"/>
        <v>3.3394200000000005</v>
      </c>
      <c r="G190" s="117">
        <f t="shared" si="45"/>
        <v>3.0391999999999992</v>
      </c>
      <c r="H190" s="117">
        <f t="shared" si="46"/>
        <v>3.1129999999999995</v>
      </c>
      <c r="I190" s="116">
        <f>IF($B$7=constants!$C$60,G190,IF($B$8=constants!$C$60,C190,E190))</f>
        <v>2.2480800000000052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2"/>
        <v>0</v>
      </c>
      <c r="M190" s="126">
        <f t="shared" si="49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3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25">
      <c r="A191" s="3">
        <f t="shared" si="26"/>
        <v>1</v>
      </c>
      <c r="B191" s="113">
        <f t="shared" si="35"/>
        <v>1.1500000000000008</v>
      </c>
      <c r="C191" s="117">
        <f t="shared" si="47"/>
        <v>2.3158000000000047</v>
      </c>
      <c r="D191" s="10">
        <f t="shared" si="36"/>
        <v>0.65</v>
      </c>
      <c r="E191" s="117">
        <f t="shared" si="48"/>
        <v>3.3324500000000006</v>
      </c>
      <c r="F191" s="117">
        <f t="shared" si="44"/>
        <v>3.3474500000000007</v>
      </c>
      <c r="G191" s="117">
        <f t="shared" si="45"/>
        <v>3.0349999999999993</v>
      </c>
      <c r="H191" s="117">
        <f t="shared" si="46"/>
        <v>3.1129999999999995</v>
      </c>
      <c r="I191" s="116">
        <f>IF($B$7=constants!$C$60,G191,IF($B$8=constants!$C$60,C191,E191))</f>
        <v>2.3158000000000047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2"/>
        <v>0</v>
      </c>
      <c r="M191" s="126">
        <f t="shared" si="49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3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25">
      <c r="A192" s="3">
        <f t="shared" si="26"/>
        <v>1</v>
      </c>
      <c r="B192" s="113">
        <f t="shared" si="35"/>
        <v>1.1600000000000008</v>
      </c>
      <c r="C192" s="117">
        <f t="shared" si="47"/>
        <v>2.3835200000000052</v>
      </c>
      <c r="D192" s="10">
        <f t="shared" si="36"/>
        <v>0.65</v>
      </c>
      <c r="E192" s="117">
        <f t="shared" si="48"/>
        <v>3.3404800000000003</v>
      </c>
      <c r="F192" s="117">
        <f t="shared" si="44"/>
        <v>3.3554800000000005</v>
      </c>
      <c r="G192" s="117">
        <f t="shared" si="45"/>
        <v>3.0307999999999993</v>
      </c>
      <c r="H192" s="117">
        <f t="shared" si="46"/>
        <v>3.1129999999999995</v>
      </c>
      <c r="I192" s="116">
        <f>IF($B$7=constants!$C$60,G192,IF($B$8=constants!$C$60,C192,E192))</f>
        <v>2.3835200000000052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2"/>
        <v>0</v>
      </c>
      <c r="M192" s="126">
        <f t="shared" si="49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3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25">
      <c r="A193" s="3">
        <f t="shared" si="26"/>
        <v>1</v>
      </c>
      <c r="B193" s="113">
        <f t="shared" si="35"/>
        <v>1.1700000000000008</v>
      </c>
      <c r="C193" s="117">
        <f t="shared" si="47"/>
        <v>2.4512400000000056</v>
      </c>
      <c r="D193" s="10">
        <f t="shared" si="36"/>
        <v>0.65</v>
      </c>
      <c r="E193" s="117">
        <f t="shared" si="48"/>
        <v>3.3485100000000005</v>
      </c>
      <c r="F193" s="117">
        <f t="shared" si="44"/>
        <v>3.3635100000000007</v>
      </c>
      <c r="G193" s="117">
        <f t="shared" si="45"/>
        <v>3.0265999999999993</v>
      </c>
      <c r="H193" s="117">
        <f t="shared" si="46"/>
        <v>3.1129999999999995</v>
      </c>
      <c r="I193" s="116">
        <f>IF($B$7=constants!$C$60,G193,IF($B$8=constants!$C$60,C193,E193))</f>
        <v>2.4512400000000056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2"/>
        <v>0</v>
      </c>
      <c r="M193" s="126">
        <f t="shared" si="49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3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25">
      <c r="A194" s="3">
        <f t="shared" si="26"/>
        <v>1</v>
      </c>
      <c r="B194" s="113">
        <f t="shared" si="35"/>
        <v>1.1800000000000008</v>
      </c>
      <c r="C194" s="117">
        <f t="shared" si="47"/>
        <v>2.5189600000000052</v>
      </c>
      <c r="D194" s="10">
        <f t="shared" si="36"/>
        <v>0.65</v>
      </c>
      <c r="E194" s="117">
        <f t="shared" si="48"/>
        <v>3.3565400000000003</v>
      </c>
      <c r="F194" s="117">
        <f t="shared" si="44"/>
        <v>3.3715400000000004</v>
      </c>
      <c r="G194" s="117">
        <f t="shared" si="45"/>
        <v>3.0223999999999993</v>
      </c>
      <c r="H194" s="117">
        <f t="shared" si="46"/>
        <v>3.1129999999999995</v>
      </c>
      <c r="I194" s="116">
        <f>IF($B$7=constants!$C$60,G194,IF($B$8=constants!$C$60,C194,E194))</f>
        <v>2.5189600000000052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2"/>
        <v>2.5189600000000052</v>
      </c>
      <c r="M194" s="126">
        <f t="shared" si="49"/>
        <v>2.4</v>
      </c>
      <c r="N194" s="126">
        <f t="shared" ref="N194:N257" si="50">IF(M194&gt;I194,L194,M194)</f>
        <v>2.4</v>
      </c>
      <c r="O194" s="126">
        <f>IF(OR($B$22=constants!$B$60,AND(I194&gt;$B$12,$B$12&lt;&gt;-1)),O193+(N194-O193)*$O$74,O193+(L194-O193)*$O$74)</f>
        <v>2.16</v>
      </c>
      <c r="P194" s="126">
        <f t="shared" si="30"/>
        <v>2.14</v>
      </c>
      <c r="Q194" s="123">
        <f t="shared" si="43"/>
        <v>2</v>
      </c>
      <c r="R194" s="123">
        <f t="shared" si="38"/>
        <v>2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25">
      <c r="A195" s="3">
        <f t="shared" si="26"/>
        <v>1</v>
      </c>
      <c r="B195" s="113">
        <f t="shared" si="35"/>
        <v>1.1900000000000008</v>
      </c>
      <c r="C195" s="117">
        <f t="shared" si="47"/>
        <v>2.5866800000000048</v>
      </c>
      <c r="D195" s="10">
        <f t="shared" si="36"/>
        <v>0.65</v>
      </c>
      <c r="E195" s="117">
        <f t="shared" si="48"/>
        <v>3.3645700000000005</v>
      </c>
      <c r="F195" s="117">
        <f t="shared" si="44"/>
        <v>3.3795700000000006</v>
      </c>
      <c r="G195" s="117">
        <f t="shared" si="45"/>
        <v>3.0181999999999993</v>
      </c>
      <c r="H195" s="117">
        <f t="shared" si="46"/>
        <v>3.1129999999999995</v>
      </c>
      <c r="I195" s="116">
        <f>IF($B$7=constants!$C$60,G195,IF($B$8=constants!$C$60,C195,E195))</f>
        <v>2.5866800000000048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2"/>
        <v>2.5866800000000048</v>
      </c>
      <c r="M195" s="126">
        <f t="shared" si="49"/>
        <v>2.4</v>
      </c>
      <c r="N195" s="126">
        <f t="shared" si="50"/>
        <v>2.4</v>
      </c>
      <c r="O195" s="126">
        <f>IF(OR($B$22=constants!$B$60,AND(I195&gt;$B$12,$B$12&lt;&gt;-1)),O194+(N195-O194)*$O$74,O194+(L195-O194)*$O$74)</f>
        <v>2.3759999999999999</v>
      </c>
      <c r="P195" s="126">
        <f t="shared" si="30"/>
        <v>2.3559999999999999</v>
      </c>
      <c r="Q195" s="123">
        <f t="shared" si="43"/>
        <v>2</v>
      </c>
      <c r="R195" s="123">
        <f t="shared" si="38"/>
        <v>2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25">
      <c r="A196" s="3">
        <f t="shared" si="26"/>
        <v>1</v>
      </c>
      <c r="B196" s="113">
        <f t="shared" si="35"/>
        <v>1.2000000000000008</v>
      </c>
      <c r="C196" s="117">
        <f t="shared" si="47"/>
        <v>2.6544000000000061</v>
      </c>
      <c r="D196" s="10">
        <f t="shared" si="36"/>
        <v>0.65</v>
      </c>
      <c r="E196" s="117">
        <f t="shared" si="48"/>
        <v>3.3726000000000003</v>
      </c>
      <c r="F196" s="117">
        <f t="shared" si="44"/>
        <v>3.3876000000000004</v>
      </c>
      <c r="G196" s="117">
        <f t="shared" si="45"/>
        <v>3.0139999999999993</v>
      </c>
      <c r="H196" s="117">
        <f t="shared" si="46"/>
        <v>3.1129999999999995</v>
      </c>
      <c r="I196" s="116">
        <f>IF($B$7=constants!$C$60,G196,IF($B$8=constants!$C$60,C196,E196))</f>
        <v>2.6544000000000061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2"/>
        <v>2.6544000000000061</v>
      </c>
      <c r="M196" s="126">
        <f t="shared" si="49"/>
        <v>2.4</v>
      </c>
      <c r="N196" s="126">
        <f t="shared" si="50"/>
        <v>2.4</v>
      </c>
      <c r="O196" s="126">
        <f>IF(OR($B$22=constants!$B$60,AND(I196&gt;$B$12,$B$12&lt;&gt;-1)),O195+(N196-O195)*$O$74,O195+(L196-O195)*$O$74)</f>
        <v>2.3975999999999997</v>
      </c>
      <c r="P196" s="126">
        <f t="shared" si="30"/>
        <v>2.3775999999999997</v>
      </c>
      <c r="Q196" s="123">
        <f t="shared" si="43"/>
        <v>2</v>
      </c>
      <c r="R196" s="123">
        <f t="shared" si="38"/>
        <v>2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25">
      <c r="A197" s="3">
        <f t="shared" si="26"/>
        <v>1</v>
      </c>
      <c r="B197" s="113">
        <f t="shared" si="35"/>
        <v>1.2100000000000009</v>
      </c>
      <c r="C197" s="117">
        <f t="shared" si="47"/>
        <v>2.7221200000000056</v>
      </c>
      <c r="D197" s="10">
        <f t="shared" si="36"/>
        <v>0.65</v>
      </c>
      <c r="E197" s="117">
        <f t="shared" si="48"/>
        <v>3.3806300000000005</v>
      </c>
      <c r="F197" s="117">
        <f t="shared" si="44"/>
        <v>3.3956300000000006</v>
      </c>
      <c r="G197" s="117">
        <f t="shared" si="45"/>
        <v>3.0097999999999994</v>
      </c>
      <c r="H197" s="117">
        <f t="shared" si="46"/>
        <v>3.1129999999999995</v>
      </c>
      <c r="I197" s="116">
        <f>IF($B$7=constants!$C$60,G197,IF($B$8=constants!$C$60,C197,E197))</f>
        <v>2.7221200000000056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2"/>
        <v>2.7221200000000056</v>
      </c>
      <c r="M197" s="126">
        <f t="shared" si="49"/>
        <v>2.4</v>
      </c>
      <c r="N197" s="126">
        <f t="shared" si="50"/>
        <v>2.4</v>
      </c>
      <c r="O197" s="126">
        <f>IF(OR($B$22=constants!$B$60,AND(I197&gt;$B$12,$B$12&lt;&gt;-1)),O196+(N197-O196)*$O$74,O196+(L197-O196)*$O$74)</f>
        <v>2.3997599999999997</v>
      </c>
      <c r="P197" s="126">
        <f t="shared" si="30"/>
        <v>2.3797599999999997</v>
      </c>
      <c r="Q197" s="123">
        <f t="shared" si="43"/>
        <v>2</v>
      </c>
      <c r="R197" s="123">
        <f t="shared" si="38"/>
        <v>2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25">
      <c r="A198" s="3">
        <f t="shared" si="26"/>
        <v>1</v>
      </c>
      <c r="B198" s="113">
        <f t="shared" si="35"/>
        <v>1.2200000000000009</v>
      </c>
      <c r="C198" s="117">
        <f t="shared" si="47"/>
        <v>2.7898400000000052</v>
      </c>
      <c r="D198" s="10">
        <f t="shared" si="36"/>
        <v>0.65</v>
      </c>
      <c r="E198" s="117">
        <f t="shared" si="48"/>
        <v>3.3886600000000007</v>
      </c>
      <c r="F198" s="117">
        <f t="shared" si="44"/>
        <v>3.4036600000000008</v>
      </c>
      <c r="G198" s="117">
        <f t="shared" si="45"/>
        <v>3.0055999999999994</v>
      </c>
      <c r="H198" s="117">
        <f t="shared" si="46"/>
        <v>3.1129999999999995</v>
      </c>
      <c r="I198" s="116">
        <f>IF($B$7=constants!$C$60,G198,IF($B$8=constants!$C$60,C198,E198))</f>
        <v>2.7898400000000052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2"/>
        <v>2.7898400000000052</v>
      </c>
      <c r="M198" s="126">
        <f t="shared" si="49"/>
        <v>2.4</v>
      </c>
      <c r="N198" s="126">
        <f t="shared" si="50"/>
        <v>2.4</v>
      </c>
      <c r="O198" s="126">
        <f>IF(OR($B$22=constants!$B$60,AND(I198&gt;$B$12,$B$12&lt;&gt;-1)),O197+(N198-O197)*$O$74,O197+(L198-O197)*$O$74)</f>
        <v>2.3999759999999997</v>
      </c>
      <c r="P198" s="126">
        <f t="shared" si="30"/>
        <v>2.3799759999999996</v>
      </c>
      <c r="Q198" s="123">
        <f t="shared" si="43"/>
        <v>2</v>
      </c>
      <c r="R198" s="123">
        <f t="shared" si="38"/>
        <v>2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25">
      <c r="A199" s="3">
        <f t="shared" si="26"/>
        <v>1</v>
      </c>
      <c r="B199" s="113">
        <f t="shared" si="35"/>
        <v>1.2300000000000009</v>
      </c>
      <c r="C199" s="117">
        <f t="shared" si="47"/>
        <v>2.8575600000000048</v>
      </c>
      <c r="D199" s="10">
        <f t="shared" si="36"/>
        <v>0.65</v>
      </c>
      <c r="E199" s="117">
        <f t="shared" si="48"/>
        <v>3.3966900000000004</v>
      </c>
      <c r="F199" s="117">
        <f t="shared" si="44"/>
        <v>3.4116900000000006</v>
      </c>
      <c r="G199" s="117">
        <f t="shared" si="45"/>
        <v>3.0013999999999994</v>
      </c>
      <c r="H199" s="117">
        <f t="shared" si="46"/>
        <v>3.1129999999999995</v>
      </c>
      <c r="I199" s="116">
        <f>IF($B$7=constants!$C$60,G199,IF($B$8=constants!$C$60,C199,E199))</f>
        <v>2.8575600000000048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2"/>
        <v>2.8575600000000048</v>
      </c>
      <c r="M199" s="126">
        <f t="shared" si="49"/>
        <v>2.4</v>
      </c>
      <c r="N199" s="126">
        <f t="shared" si="50"/>
        <v>2.4</v>
      </c>
      <c r="O199" s="126">
        <f>IF(OR($B$22=constants!$B$60,AND(I199&gt;$B$12,$B$12&lt;&gt;-1)),O198+(N199-O198)*$O$74,O198+(L199-O198)*$O$74)</f>
        <v>2.3999975999999998</v>
      </c>
      <c r="P199" s="126">
        <f t="shared" si="30"/>
        <v>2.3799975999999998</v>
      </c>
      <c r="Q199" s="123">
        <f t="shared" si="43"/>
        <v>2</v>
      </c>
      <c r="R199" s="123">
        <f t="shared" si="38"/>
        <v>2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25">
      <c r="A200" s="3">
        <f t="shared" si="26"/>
        <v>1</v>
      </c>
      <c r="B200" s="113">
        <f t="shared" si="35"/>
        <v>1.2400000000000009</v>
      </c>
      <c r="C200" s="117">
        <f t="shared" si="47"/>
        <v>2.9252800000000061</v>
      </c>
      <c r="D200" s="10">
        <f t="shared" si="36"/>
        <v>0.65</v>
      </c>
      <c r="E200" s="117">
        <f t="shared" si="48"/>
        <v>3.4047200000000002</v>
      </c>
      <c r="F200" s="117">
        <f t="shared" si="44"/>
        <v>3.4197200000000003</v>
      </c>
      <c r="G200" s="117">
        <f t="shared" si="45"/>
        <v>2.9971999999999994</v>
      </c>
      <c r="H200" s="117">
        <f t="shared" si="46"/>
        <v>3.1129999999999995</v>
      </c>
      <c r="I200" s="116">
        <f>IF($B$7=constants!$C$60,G200,IF($B$8=constants!$C$60,C200,E200))</f>
        <v>2.9252800000000061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2"/>
        <v>2.9252800000000061</v>
      </c>
      <c r="M200" s="126">
        <f t="shared" si="49"/>
        <v>2.4</v>
      </c>
      <c r="N200" s="126">
        <f t="shared" si="50"/>
        <v>2.4</v>
      </c>
      <c r="O200" s="126">
        <f>IF(OR($B$22=constants!$B$60,AND(I200&gt;$B$12,$B$12&lt;&gt;-1)),O199+(N200-O199)*$O$74,O199+(L200-O199)*$O$74)</f>
        <v>2.39999976</v>
      </c>
      <c r="P200" s="126">
        <f t="shared" si="30"/>
        <v>2.37999976</v>
      </c>
      <c r="Q200" s="123">
        <f t="shared" si="43"/>
        <v>2</v>
      </c>
      <c r="R200" s="123">
        <f t="shared" si="38"/>
        <v>2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25">
      <c r="A201" s="3">
        <f t="shared" si="26"/>
        <v>1</v>
      </c>
      <c r="B201" s="113">
        <f t="shared" si="35"/>
        <v>1.2500000000000009</v>
      </c>
      <c r="C201" s="117">
        <f>$D$15*B201+$D$16</f>
        <v>2.9929999999999977</v>
      </c>
      <c r="D201" s="10">
        <f t="shared" si="36"/>
        <v>0.65</v>
      </c>
      <c r="E201" s="117">
        <f t="shared" si="48"/>
        <v>3.4127500000000004</v>
      </c>
      <c r="F201" s="117">
        <f t="shared" si="44"/>
        <v>3.4277500000000005</v>
      </c>
      <c r="G201" s="117">
        <f>B201*$H$46+$H$47</f>
        <v>2.9929999999999977</v>
      </c>
      <c r="H201" s="117">
        <f t="shared" si="46"/>
        <v>3.1129999999999995</v>
      </c>
      <c r="I201" s="116">
        <f>IF($B$7=constants!$C$60,G201,IF($B$8=constants!$C$60,C201,E201))</f>
        <v>2.9929999999999977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2"/>
        <v>2.9929999999999977</v>
      </c>
      <c r="M201" s="126">
        <f t="shared" si="49"/>
        <v>2.4</v>
      </c>
      <c r="N201" s="126">
        <f t="shared" si="50"/>
        <v>2.4</v>
      </c>
      <c r="O201" s="126">
        <f>IF(OR($B$22=constants!$B$60,AND(I201&gt;$B$12,$B$12&lt;&gt;-1)),O200+(N201-O200)*$O$74,O200+(L201-O200)*$O$74)</f>
        <v>2.3999999760000001</v>
      </c>
      <c r="P201" s="126">
        <f t="shared" si="30"/>
        <v>2.3799999760000001</v>
      </c>
      <c r="Q201" s="123">
        <f t="shared" si="43"/>
        <v>2</v>
      </c>
      <c r="R201" s="123">
        <f t="shared" si="38"/>
        <v>2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25">
      <c r="A202" s="3">
        <f t="shared" si="26"/>
        <v>1</v>
      </c>
      <c r="B202" s="113">
        <f t="shared" si="35"/>
        <v>1.2600000000000009</v>
      </c>
      <c r="C202" s="117">
        <f>$D$15*$B202+$D$16</f>
        <v>2.9725599999999974</v>
      </c>
      <c r="D202" s="117">
        <f>$G$15*$B202+$G$16</f>
        <v>0.68664000000000236</v>
      </c>
      <c r="E202" s="117">
        <f t="shared" si="48"/>
        <v>3.4207800000000006</v>
      </c>
      <c r="F202" s="117">
        <f t="shared" si="44"/>
        <v>3.4357800000000007</v>
      </c>
      <c r="G202" s="117">
        <f t="shared" ref="G202:G225" si="51">B202*$H$46+$H$47</f>
        <v>2.9725599999999974</v>
      </c>
      <c r="H202" s="117">
        <f t="shared" si="46"/>
        <v>3.1129999999999995</v>
      </c>
      <c r="I202" s="116">
        <f>IF($B$7=constants!$C$60,G202,IF($B$8=constants!$C$60,C202,E202))</f>
        <v>2.9725599999999974</v>
      </c>
      <c r="J202" s="116">
        <f>IF($B$7=constants!$C$60,H202,IF($B$8=constants!$C$60,D202,F202))</f>
        <v>0.68664000000000236</v>
      </c>
      <c r="K202" s="121">
        <f t="shared" si="37"/>
        <v>1</v>
      </c>
      <c r="L202" s="10">
        <f t="shared" si="42"/>
        <v>2.9725599999999974</v>
      </c>
      <c r="M202" s="126">
        <f t="shared" si="49"/>
        <v>2.4</v>
      </c>
      <c r="N202" s="126">
        <f t="shared" si="50"/>
        <v>2.4</v>
      </c>
      <c r="O202" s="126">
        <f>IF(OR($B$22=constants!$B$60,AND(I202&gt;$B$12,$B$12&lt;&gt;-1)),O201+(N202-O201)*$O$74,O201+(L202-O201)*$O$74)</f>
        <v>2.3999999976000002</v>
      </c>
      <c r="P202" s="126">
        <f t="shared" si="30"/>
        <v>2.3799999976000001</v>
      </c>
      <c r="Q202" s="123">
        <f t="shared" si="43"/>
        <v>2</v>
      </c>
      <c r="R202" s="123">
        <f t="shared" si="38"/>
        <v>2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25">
      <c r="A203" s="3">
        <f t="shared" si="26"/>
        <v>1</v>
      </c>
      <c r="B203" s="113">
        <f t="shared" si="35"/>
        <v>1.2700000000000009</v>
      </c>
      <c r="C203" s="117">
        <f t="shared" ref="C203:C225" si="52">$D$15*B203+$D$16</f>
        <v>2.9521199999999976</v>
      </c>
      <c r="D203" s="117">
        <f t="shared" ref="D203:D226" si="53">$G$15*$B203+$G$16</f>
        <v>0.72328000000000259</v>
      </c>
      <c r="E203" s="117">
        <f t="shared" si="48"/>
        <v>3.4288100000000004</v>
      </c>
      <c r="F203" s="117">
        <f t="shared" si="44"/>
        <v>3.4438100000000005</v>
      </c>
      <c r="G203" s="117">
        <f t="shared" si="51"/>
        <v>2.9521199999999976</v>
      </c>
      <c r="H203" s="117">
        <f t="shared" si="46"/>
        <v>3.1129999999999995</v>
      </c>
      <c r="I203" s="116">
        <f>IF($B$7=constants!$C$60,G203,IF($B$8=constants!$C$60,C203,E203))</f>
        <v>2.9521199999999976</v>
      </c>
      <c r="J203" s="116">
        <f>IF($B$7=constants!$C$60,H203,IF($B$8=constants!$C$60,D203,F203))</f>
        <v>0.72328000000000259</v>
      </c>
      <c r="K203" s="121">
        <f t="shared" si="37"/>
        <v>1</v>
      </c>
      <c r="L203" s="10">
        <f t="shared" si="42"/>
        <v>2.9521199999999976</v>
      </c>
      <c r="M203" s="126">
        <f t="shared" si="49"/>
        <v>2.4</v>
      </c>
      <c r="N203" s="126">
        <f t="shared" si="50"/>
        <v>2.4</v>
      </c>
      <c r="O203" s="126">
        <f>IF(OR($B$22=constants!$B$60,AND(I203&gt;$B$12,$B$12&lt;&gt;-1)),O202+(N203-O202)*$O$74,O202+(L203-O202)*$O$74)</f>
        <v>2.3999999997599999</v>
      </c>
      <c r="P203" s="126">
        <f t="shared" si="30"/>
        <v>2.3799999997599999</v>
      </c>
      <c r="Q203" s="123">
        <f t="shared" si="43"/>
        <v>2</v>
      </c>
      <c r="R203" s="123">
        <f t="shared" si="38"/>
        <v>2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25">
      <c r="A204" s="3">
        <f t="shared" si="26"/>
        <v>1</v>
      </c>
      <c r="B204" s="113">
        <f t="shared" si="35"/>
        <v>1.2800000000000009</v>
      </c>
      <c r="C204" s="117">
        <f t="shared" si="52"/>
        <v>2.9316799999999974</v>
      </c>
      <c r="D204" s="117">
        <f t="shared" si="53"/>
        <v>0.75992000000000282</v>
      </c>
      <c r="E204" s="117">
        <f t="shared" si="48"/>
        <v>3.4368400000000006</v>
      </c>
      <c r="F204" s="117">
        <f t="shared" si="44"/>
        <v>3.4518400000000007</v>
      </c>
      <c r="G204" s="117">
        <f t="shared" si="51"/>
        <v>2.9316799999999974</v>
      </c>
      <c r="H204" s="117">
        <f t="shared" si="46"/>
        <v>3.1129999999999995</v>
      </c>
      <c r="I204" s="116">
        <f>IF($B$7=constants!$C$60,G204,IF($B$8=constants!$C$60,C204,E204))</f>
        <v>2.9316799999999974</v>
      </c>
      <c r="J204" s="116">
        <f>IF($B$7=constants!$C$60,H204,IF($B$8=constants!$C$60,D204,F204))</f>
        <v>0.75992000000000282</v>
      </c>
      <c r="K204" s="121">
        <f t="shared" si="37"/>
        <v>1</v>
      </c>
      <c r="L204" s="10">
        <f t="shared" si="42"/>
        <v>2.9316799999999974</v>
      </c>
      <c r="M204" s="126">
        <f t="shared" si="49"/>
        <v>2.4</v>
      </c>
      <c r="N204" s="126">
        <f t="shared" si="50"/>
        <v>2.4</v>
      </c>
      <c r="O204" s="126">
        <f>IF(OR($B$22=constants!$B$60,AND(I204&gt;$B$12,$B$12&lt;&gt;-1)),O203+(N204-O203)*$O$74,O203+(L204-O203)*$O$74)</f>
        <v>2.399999999976</v>
      </c>
      <c r="P204" s="126">
        <f t="shared" si="30"/>
        <v>2.379999999976</v>
      </c>
      <c r="Q204" s="123">
        <f t="shared" si="43"/>
        <v>2</v>
      </c>
      <c r="R204" s="123">
        <f t="shared" si="38"/>
        <v>2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25">
      <c r="A205" s="3">
        <f t="shared" ref="A205:A268" si="54">IF(B205&lt;=100,1,IF(B205&lt;=200,2,3))</f>
        <v>1</v>
      </c>
      <c r="B205" s="113">
        <f t="shared" si="35"/>
        <v>1.2900000000000009</v>
      </c>
      <c r="C205" s="117">
        <f t="shared" si="52"/>
        <v>2.9112399999999976</v>
      </c>
      <c r="D205" s="117">
        <f t="shared" si="53"/>
        <v>0.79656000000000304</v>
      </c>
      <c r="E205" s="117">
        <f t="shared" si="48"/>
        <v>3.4448700000000008</v>
      </c>
      <c r="F205" s="117">
        <f t="shared" si="44"/>
        <v>3.4598700000000009</v>
      </c>
      <c r="G205" s="117">
        <f t="shared" si="51"/>
        <v>2.9112399999999976</v>
      </c>
      <c r="H205" s="117">
        <f t="shared" si="46"/>
        <v>3.1129999999999995</v>
      </c>
      <c r="I205" s="116">
        <f>IF($B$7=constants!$C$60,G205,IF($B$8=constants!$C$60,C205,E205))</f>
        <v>2.9112399999999976</v>
      </c>
      <c r="J205" s="116">
        <f>IF($B$7=constants!$C$60,H205,IF($B$8=constants!$C$60,D205,F205))</f>
        <v>0.79656000000000304</v>
      </c>
      <c r="K205" s="121">
        <f t="shared" si="37"/>
        <v>1</v>
      </c>
      <c r="L205" s="10">
        <f t="shared" si="42"/>
        <v>2.9112399999999976</v>
      </c>
      <c r="M205" s="126">
        <f t="shared" si="49"/>
        <v>2.4</v>
      </c>
      <c r="N205" s="126">
        <f t="shared" si="50"/>
        <v>2.4</v>
      </c>
      <c r="O205" s="126">
        <f>IF(OR($B$22=constants!$B$60,AND(I205&gt;$B$12,$B$12&lt;&gt;-1)),O204+(N205-O204)*$O$74,O204+(L205-O204)*$O$74)</f>
        <v>2.3999999999976001</v>
      </c>
      <c r="P205" s="126">
        <f t="shared" ref="P205:P268" si="55">IF(O205=0,0,O205-$P$72)</f>
        <v>2.3799999999976</v>
      </c>
      <c r="Q205" s="123">
        <f t="shared" si="43"/>
        <v>2</v>
      </c>
      <c r="R205" s="123">
        <f t="shared" si="38"/>
        <v>2</v>
      </c>
      <c r="S205" s="3">
        <f t="shared" ref="S205:U236" si="56">S$72*IF(S$71=0,$L205,IF(S$71=1,$R205,IF($B$12=-1,$L205,IF($I205&gt;$B$12,$R205,$L205))))</f>
        <v>0</v>
      </c>
      <c r="T205" s="3">
        <f t="shared" si="56"/>
        <v>0</v>
      </c>
      <c r="U205" s="3">
        <f t="shared" si="56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7">IF(V205=0,0,V205-Y$72)</f>
        <v>0</v>
      </c>
      <c r="Z205" s="3">
        <f t="shared" ref="Z205:Z268" si="58">IF(W205=0,0,W205-Z$72)</f>
        <v>0</v>
      </c>
      <c r="AA205" s="3">
        <f t="shared" ref="AA205:AA268" si="59">IF(X205=0,0,X205-AA$72)</f>
        <v>0</v>
      </c>
    </row>
    <row r="206" spans="1:27" x14ac:dyDescent="0.25">
      <c r="A206" s="3">
        <f t="shared" si="54"/>
        <v>1</v>
      </c>
      <c r="B206" s="113">
        <f t="shared" ref="B206:B269" si="60">B205+0.01</f>
        <v>1.3000000000000009</v>
      </c>
      <c r="C206" s="117">
        <f t="shared" si="52"/>
        <v>2.8907999999999974</v>
      </c>
      <c r="D206" s="117">
        <f t="shared" si="53"/>
        <v>0.83320000000000238</v>
      </c>
      <c r="E206" s="117">
        <f t="shared" si="48"/>
        <v>3.4529000000000005</v>
      </c>
      <c r="F206" s="117">
        <f t="shared" si="44"/>
        <v>3.4679000000000006</v>
      </c>
      <c r="G206" s="117">
        <f t="shared" si="51"/>
        <v>2.8907999999999974</v>
      </c>
      <c r="H206" s="117">
        <f t="shared" si="46"/>
        <v>3.1129999999999995</v>
      </c>
      <c r="I206" s="116">
        <f>IF($B$7=constants!$C$60,G206,IF($B$8=constants!$C$60,C206,E206))</f>
        <v>2.8907999999999974</v>
      </c>
      <c r="J206" s="116">
        <f>IF($B$7=constants!$C$60,H206,IF($B$8=constants!$C$60,D206,F206))</f>
        <v>0.83320000000000238</v>
      </c>
      <c r="K206" s="121">
        <f t="shared" ref="K206:K269" si="61">IF(AND(I206&gt;$B$16,K205=0),1,IF(AND(I206&lt;$B$17,K205=1),0,K205))</f>
        <v>1</v>
      </c>
      <c r="L206" s="10">
        <f t="shared" si="42"/>
        <v>2.8907999999999974</v>
      </c>
      <c r="M206" s="126">
        <f t="shared" si="49"/>
        <v>2.4</v>
      </c>
      <c r="N206" s="126">
        <f t="shared" si="50"/>
        <v>2.4</v>
      </c>
      <c r="O206" s="126">
        <f>IF(OR($B$22=constants!$B$60,AND(I206&gt;$B$12,$B$12&lt;&gt;-1)),O205+(N206-O205)*$O$74,O205+(L206-O205)*$O$74)</f>
        <v>2.3999999999997601</v>
      </c>
      <c r="P206" s="126">
        <f t="shared" si="55"/>
        <v>2.3799999999997601</v>
      </c>
      <c r="Q206" s="123">
        <f t="shared" si="43"/>
        <v>2</v>
      </c>
      <c r="R206" s="123">
        <f t="shared" ref="R206:R269" si="62">IF(Q206&gt;I206,I206,Q206)</f>
        <v>2</v>
      </c>
      <c r="S206" s="3">
        <f t="shared" si="56"/>
        <v>0</v>
      </c>
      <c r="T206" s="3">
        <f t="shared" si="56"/>
        <v>0</v>
      </c>
      <c r="U206" s="3">
        <f t="shared" si="56"/>
        <v>0</v>
      </c>
      <c r="V206" s="3">
        <f t="shared" ref="V206:V269" si="63">V205+(S206-V$72-V205)*V$74</f>
        <v>0</v>
      </c>
      <c r="W206" s="3">
        <f t="shared" ref="W206:W269" si="64">W205+(T206-W$72-W205)*W$74</f>
        <v>0</v>
      </c>
      <c r="X206" s="3">
        <f t="shared" ref="X206:X269" si="65">X205+(U206-X$72-X205)*X$74</f>
        <v>0</v>
      </c>
      <c r="Y206" s="3">
        <f t="shared" si="57"/>
        <v>0</v>
      </c>
      <c r="Z206" s="3">
        <f t="shared" si="58"/>
        <v>0</v>
      </c>
      <c r="AA206" s="3">
        <f t="shared" si="59"/>
        <v>0</v>
      </c>
    </row>
    <row r="207" spans="1:27" x14ac:dyDescent="0.25">
      <c r="A207" s="3">
        <f t="shared" si="54"/>
        <v>1</v>
      </c>
      <c r="B207" s="113">
        <f t="shared" si="60"/>
        <v>1.3100000000000009</v>
      </c>
      <c r="C207" s="117">
        <f t="shared" si="52"/>
        <v>2.8703599999999976</v>
      </c>
      <c r="D207" s="117">
        <f t="shared" si="53"/>
        <v>0.86984000000000261</v>
      </c>
      <c r="E207" s="117">
        <f t="shared" si="48"/>
        <v>3.4609300000000003</v>
      </c>
      <c r="F207" s="117">
        <f t="shared" si="44"/>
        <v>3.4759300000000004</v>
      </c>
      <c r="G207" s="117">
        <f t="shared" si="51"/>
        <v>2.8703599999999976</v>
      </c>
      <c r="H207" s="117">
        <f t="shared" si="46"/>
        <v>3.1129999999999995</v>
      </c>
      <c r="I207" s="116">
        <f>IF($B$7=constants!$C$60,G207,IF($B$8=constants!$C$60,C207,E207))</f>
        <v>2.8703599999999976</v>
      </c>
      <c r="J207" s="116">
        <f>IF($B$7=constants!$C$60,H207,IF($B$8=constants!$C$60,D207,F207))</f>
        <v>0.86984000000000261</v>
      </c>
      <c r="K207" s="121">
        <f t="shared" si="61"/>
        <v>1</v>
      </c>
      <c r="L207" s="10">
        <f t="shared" si="42"/>
        <v>2.8703599999999976</v>
      </c>
      <c r="M207" s="126">
        <f t="shared" si="49"/>
        <v>2.4</v>
      </c>
      <c r="N207" s="126">
        <f t="shared" si="50"/>
        <v>2.4</v>
      </c>
      <c r="O207" s="126">
        <f>IF(OR($B$22=constants!$B$60,AND(I207&gt;$B$12,$B$12&lt;&gt;-1)),O206+(N207-O206)*$O$74,O206+(L207-O206)*$O$74)</f>
        <v>2.3999999999999759</v>
      </c>
      <c r="P207" s="126">
        <f t="shared" si="55"/>
        <v>2.3799999999999759</v>
      </c>
      <c r="Q207" s="123">
        <f t="shared" si="43"/>
        <v>2</v>
      </c>
      <c r="R207" s="123">
        <f t="shared" si="62"/>
        <v>2</v>
      </c>
      <c r="S207" s="3">
        <f t="shared" si="56"/>
        <v>0</v>
      </c>
      <c r="T207" s="3">
        <f t="shared" si="56"/>
        <v>0</v>
      </c>
      <c r="U207" s="3">
        <f t="shared" si="56"/>
        <v>0</v>
      </c>
      <c r="V207" s="3">
        <f t="shared" si="63"/>
        <v>0</v>
      </c>
      <c r="W207" s="3">
        <f t="shared" si="64"/>
        <v>0</v>
      </c>
      <c r="X207" s="3">
        <f t="shared" si="65"/>
        <v>0</v>
      </c>
      <c r="Y207" s="3">
        <f t="shared" si="57"/>
        <v>0</v>
      </c>
      <c r="Z207" s="3">
        <f t="shared" si="58"/>
        <v>0</v>
      </c>
      <c r="AA207" s="3">
        <f t="shared" si="59"/>
        <v>0</v>
      </c>
    </row>
    <row r="208" spans="1:27" x14ac:dyDescent="0.25">
      <c r="A208" s="3">
        <f t="shared" si="54"/>
        <v>1</v>
      </c>
      <c r="B208" s="113">
        <f t="shared" si="60"/>
        <v>1.320000000000001</v>
      </c>
      <c r="C208" s="117">
        <f t="shared" si="52"/>
        <v>2.8499199999999973</v>
      </c>
      <c r="D208" s="117">
        <f t="shared" si="53"/>
        <v>0.90648000000000284</v>
      </c>
      <c r="E208" s="117">
        <f t="shared" si="48"/>
        <v>3.4689600000000005</v>
      </c>
      <c r="F208" s="117">
        <f t="shared" si="44"/>
        <v>3.4839600000000006</v>
      </c>
      <c r="G208" s="117">
        <f t="shared" si="51"/>
        <v>2.8499199999999973</v>
      </c>
      <c r="H208" s="117">
        <f t="shared" si="46"/>
        <v>3.1129999999999995</v>
      </c>
      <c r="I208" s="116">
        <f>IF($B$7=constants!$C$60,G208,IF($B$8=constants!$C$60,C208,E208))</f>
        <v>2.8499199999999973</v>
      </c>
      <c r="J208" s="116">
        <f>IF($B$7=constants!$C$60,H208,IF($B$8=constants!$C$60,D208,F208))</f>
        <v>0.90648000000000284</v>
      </c>
      <c r="K208" s="121">
        <f t="shared" si="61"/>
        <v>1</v>
      </c>
      <c r="L208" s="10">
        <f t="shared" si="42"/>
        <v>2.8499199999999973</v>
      </c>
      <c r="M208" s="126">
        <f t="shared" si="49"/>
        <v>2.4</v>
      </c>
      <c r="N208" s="126">
        <f t="shared" si="50"/>
        <v>2.4</v>
      </c>
      <c r="O208" s="126">
        <f>IF(OR($B$22=constants!$B$60,AND(I208&gt;$B$12,$B$12&lt;&gt;-1)),O207+(N208-O207)*$O$74,O207+(L208-O207)*$O$74)</f>
        <v>2.3999999999999977</v>
      </c>
      <c r="P208" s="126">
        <f t="shared" si="55"/>
        <v>2.3799999999999977</v>
      </c>
      <c r="Q208" s="123">
        <f t="shared" si="43"/>
        <v>2</v>
      </c>
      <c r="R208" s="123">
        <f t="shared" si="62"/>
        <v>2</v>
      </c>
      <c r="S208" s="3">
        <f t="shared" si="56"/>
        <v>0</v>
      </c>
      <c r="T208" s="3">
        <f t="shared" si="56"/>
        <v>0</v>
      </c>
      <c r="U208" s="3">
        <f t="shared" si="56"/>
        <v>0</v>
      </c>
      <c r="V208" s="3">
        <f t="shared" si="63"/>
        <v>0</v>
      </c>
      <c r="W208" s="3">
        <f t="shared" si="64"/>
        <v>0</v>
      </c>
      <c r="X208" s="3">
        <f t="shared" si="65"/>
        <v>0</v>
      </c>
      <c r="Y208" s="3">
        <f t="shared" si="57"/>
        <v>0</v>
      </c>
      <c r="Z208" s="3">
        <f t="shared" si="58"/>
        <v>0</v>
      </c>
      <c r="AA208" s="3">
        <f t="shared" si="59"/>
        <v>0</v>
      </c>
    </row>
    <row r="209" spans="1:27" x14ac:dyDescent="0.25">
      <c r="A209" s="3">
        <f t="shared" si="54"/>
        <v>1</v>
      </c>
      <c r="B209" s="113">
        <f t="shared" si="60"/>
        <v>1.330000000000001</v>
      </c>
      <c r="C209" s="117">
        <f t="shared" si="52"/>
        <v>2.8294799999999976</v>
      </c>
      <c r="D209" s="117">
        <f t="shared" si="53"/>
        <v>0.94312000000000307</v>
      </c>
      <c r="E209" s="117">
        <f t="shared" si="48"/>
        <v>3.4769900000000007</v>
      </c>
      <c r="F209" s="117">
        <f t="shared" ref="F209:F240" si="66">E209+$F$74</f>
        <v>3.4919900000000008</v>
      </c>
      <c r="G209" s="117">
        <f t="shared" si="51"/>
        <v>2.8294799999999976</v>
      </c>
      <c r="H209" s="117">
        <f t="shared" si="46"/>
        <v>3.1129999999999995</v>
      </c>
      <c r="I209" s="116">
        <f>IF($B$7=constants!$C$60,G209,IF($B$8=constants!$C$60,C209,E209))</f>
        <v>2.8294799999999976</v>
      </c>
      <c r="J209" s="116">
        <f>IF($B$7=constants!$C$60,H209,IF($B$8=constants!$C$60,D209,F209))</f>
        <v>0.94312000000000307</v>
      </c>
      <c r="K209" s="121">
        <f t="shared" si="61"/>
        <v>1</v>
      </c>
      <c r="L209" s="10">
        <f t="shared" si="42"/>
        <v>2.8294799999999976</v>
      </c>
      <c r="M209" s="126">
        <f t="shared" si="49"/>
        <v>2.4</v>
      </c>
      <c r="N209" s="126">
        <f t="shared" si="50"/>
        <v>2.4</v>
      </c>
      <c r="O209" s="126">
        <f>IF(OR($B$22=constants!$B$60,AND(I209&gt;$B$12,$B$12&lt;&gt;-1)),O208+(N209-O208)*$O$74,O208+(L209-O208)*$O$74)</f>
        <v>2.3999999999999995</v>
      </c>
      <c r="P209" s="126">
        <f t="shared" si="55"/>
        <v>2.3799999999999994</v>
      </c>
      <c r="Q209" s="123">
        <f t="shared" si="43"/>
        <v>2</v>
      </c>
      <c r="R209" s="123">
        <f t="shared" si="62"/>
        <v>2</v>
      </c>
      <c r="S209" s="3">
        <f t="shared" si="56"/>
        <v>0</v>
      </c>
      <c r="T209" s="3">
        <f t="shared" si="56"/>
        <v>0</v>
      </c>
      <c r="U209" s="3">
        <f t="shared" si="56"/>
        <v>0</v>
      </c>
      <c r="V209" s="3">
        <f t="shared" si="63"/>
        <v>0</v>
      </c>
      <c r="W209" s="3">
        <f t="shared" si="64"/>
        <v>0</v>
      </c>
      <c r="X209" s="3">
        <f t="shared" si="65"/>
        <v>0</v>
      </c>
      <c r="Y209" s="3">
        <f t="shared" si="57"/>
        <v>0</v>
      </c>
      <c r="Z209" s="3">
        <f t="shared" si="58"/>
        <v>0</v>
      </c>
      <c r="AA209" s="3">
        <f t="shared" si="59"/>
        <v>0</v>
      </c>
    </row>
    <row r="210" spans="1:27" x14ac:dyDescent="0.25">
      <c r="A210" s="3">
        <f t="shared" si="54"/>
        <v>1</v>
      </c>
      <c r="B210" s="113">
        <f t="shared" si="60"/>
        <v>1.340000000000001</v>
      </c>
      <c r="C210" s="117">
        <f t="shared" si="52"/>
        <v>2.8090399999999973</v>
      </c>
      <c r="D210" s="117">
        <f t="shared" si="53"/>
        <v>0.97976000000000241</v>
      </c>
      <c r="E210" s="117">
        <f t="shared" si="48"/>
        <v>3.4850200000000005</v>
      </c>
      <c r="F210" s="117">
        <f t="shared" si="66"/>
        <v>3.5000200000000006</v>
      </c>
      <c r="G210" s="117">
        <f t="shared" si="51"/>
        <v>2.8090399999999973</v>
      </c>
      <c r="H210" s="117">
        <f t="shared" si="46"/>
        <v>3.1129999999999995</v>
      </c>
      <c r="I210" s="116">
        <f>IF($B$7=constants!$C$60,G210,IF($B$8=constants!$C$60,C210,E210))</f>
        <v>2.8090399999999973</v>
      </c>
      <c r="J210" s="116">
        <f>IF($B$7=constants!$C$60,H210,IF($B$8=constants!$C$60,D210,F210))</f>
        <v>0.97976000000000241</v>
      </c>
      <c r="K210" s="121">
        <f t="shared" si="61"/>
        <v>1</v>
      </c>
      <c r="L210" s="10">
        <f t="shared" si="42"/>
        <v>2.8090399999999973</v>
      </c>
      <c r="M210" s="126">
        <f t="shared" si="49"/>
        <v>2.4</v>
      </c>
      <c r="N210" s="126">
        <f t="shared" si="50"/>
        <v>2.4</v>
      </c>
      <c r="O210" s="126">
        <f>IF(OR($B$22=constants!$B$60,AND(I210&gt;$B$12,$B$12&lt;&gt;-1)),O209+(N210-O209)*$O$74,O209+(L210-O209)*$O$74)</f>
        <v>2.4</v>
      </c>
      <c r="P210" s="126">
        <f t="shared" si="55"/>
        <v>2.38</v>
      </c>
      <c r="Q210" s="123">
        <f t="shared" si="43"/>
        <v>2</v>
      </c>
      <c r="R210" s="123">
        <f t="shared" si="62"/>
        <v>2</v>
      </c>
      <c r="S210" s="3">
        <f t="shared" si="56"/>
        <v>0</v>
      </c>
      <c r="T210" s="3">
        <f t="shared" si="56"/>
        <v>0</v>
      </c>
      <c r="U210" s="3">
        <f t="shared" si="56"/>
        <v>0</v>
      </c>
      <c r="V210" s="3">
        <f t="shared" si="63"/>
        <v>0</v>
      </c>
      <c r="W210" s="3">
        <f t="shared" si="64"/>
        <v>0</v>
      </c>
      <c r="X210" s="3">
        <f t="shared" si="65"/>
        <v>0</v>
      </c>
      <c r="Y210" s="3">
        <f t="shared" si="57"/>
        <v>0</v>
      </c>
      <c r="Z210" s="3">
        <f t="shared" si="58"/>
        <v>0</v>
      </c>
      <c r="AA210" s="3">
        <f t="shared" si="59"/>
        <v>0</v>
      </c>
    </row>
    <row r="211" spans="1:27" x14ac:dyDescent="0.25">
      <c r="A211" s="3">
        <f t="shared" si="54"/>
        <v>1</v>
      </c>
      <c r="B211" s="113">
        <f t="shared" si="60"/>
        <v>1.350000000000001</v>
      </c>
      <c r="C211" s="117">
        <f t="shared" si="52"/>
        <v>2.7885999999999975</v>
      </c>
      <c r="D211" s="117">
        <f t="shared" si="53"/>
        <v>1.0164000000000026</v>
      </c>
      <c r="E211" s="117">
        <f t="shared" si="48"/>
        <v>3.4930500000000002</v>
      </c>
      <c r="F211" s="117">
        <f t="shared" si="66"/>
        <v>3.5080500000000003</v>
      </c>
      <c r="G211" s="117">
        <f t="shared" si="51"/>
        <v>2.7885999999999975</v>
      </c>
      <c r="H211" s="117">
        <f t="shared" si="46"/>
        <v>3.1129999999999995</v>
      </c>
      <c r="I211" s="116">
        <f>IF($B$7=constants!$C$60,G211,IF($B$8=constants!$C$60,C211,E211))</f>
        <v>2.7885999999999975</v>
      </c>
      <c r="J211" s="116">
        <f>IF($B$7=constants!$C$60,H211,IF($B$8=constants!$C$60,D211,F211))</f>
        <v>1.0164000000000026</v>
      </c>
      <c r="K211" s="121">
        <f t="shared" si="61"/>
        <v>1</v>
      </c>
      <c r="L211" s="10">
        <f t="shared" si="42"/>
        <v>2.7885999999999975</v>
      </c>
      <c r="M211" s="126">
        <f t="shared" si="49"/>
        <v>2.4</v>
      </c>
      <c r="N211" s="126">
        <f t="shared" si="50"/>
        <v>2.4</v>
      </c>
      <c r="O211" s="126">
        <f>IF(OR($B$22=constants!$B$60,AND(I211&gt;$B$12,$B$12&lt;&gt;-1)),O210+(N211-O210)*$O$74,O210+(L211-O210)*$O$74)</f>
        <v>2.4</v>
      </c>
      <c r="P211" s="126">
        <f t="shared" si="55"/>
        <v>2.38</v>
      </c>
      <c r="Q211" s="123">
        <f t="shared" si="43"/>
        <v>2</v>
      </c>
      <c r="R211" s="123">
        <f t="shared" si="62"/>
        <v>2</v>
      </c>
      <c r="S211" s="3">
        <f t="shared" si="56"/>
        <v>0</v>
      </c>
      <c r="T211" s="3">
        <f t="shared" si="56"/>
        <v>0</v>
      </c>
      <c r="U211" s="3">
        <f t="shared" si="56"/>
        <v>0</v>
      </c>
      <c r="V211" s="3">
        <f t="shared" si="63"/>
        <v>0</v>
      </c>
      <c r="W211" s="3">
        <f t="shared" si="64"/>
        <v>0</v>
      </c>
      <c r="X211" s="3">
        <f t="shared" si="65"/>
        <v>0</v>
      </c>
      <c r="Y211" s="3">
        <f t="shared" si="57"/>
        <v>0</v>
      </c>
      <c r="Z211" s="3">
        <f t="shared" si="58"/>
        <v>0</v>
      </c>
      <c r="AA211" s="3">
        <f t="shared" si="59"/>
        <v>0</v>
      </c>
    </row>
    <row r="212" spans="1:27" x14ac:dyDescent="0.25">
      <c r="A212" s="3">
        <f t="shared" si="54"/>
        <v>1</v>
      </c>
      <c r="B212" s="113">
        <f t="shared" si="60"/>
        <v>1.360000000000001</v>
      </c>
      <c r="C212" s="117">
        <f t="shared" si="52"/>
        <v>2.7681599999999973</v>
      </c>
      <c r="D212" s="117">
        <f t="shared" si="53"/>
        <v>1.0530400000000029</v>
      </c>
      <c r="E212" s="117">
        <f t="shared" si="48"/>
        <v>3.5010800000000004</v>
      </c>
      <c r="F212" s="117">
        <f t="shared" si="66"/>
        <v>3.5160800000000005</v>
      </c>
      <c r="G212" s="117">
        <f t="shared" si="51"/>
        <v>2.7681599999999973</v>
      </c>
      <c r="H212" s="117">
        <f t="shared" si="46"/>
        <v>3.1129999999999995</v>
      </c>
      <c r="I212" s="116">
        <f>IF($B$7=constants!$C$60,G212,IF($B$8=constants!$C$60,C212,E212))</f>
        <v>2.7681599999999973</v>
      </c>
      <c r="J212" s="116">
        <f>IF($B$7=constants!$C$60,H212,IF($B$8=constants!$C$60,D212,F212))</f>
        <v>1.0530400000000029</v>
      </c>
      <c r="K212" s="121">
        <f t="shared" si="61"/>
        <v>1</v>
      </c>
      <c r="L212" s="10">
        <f t="shared" si="42"/>
        <v>2.7681599999999973</v>
      </c>
      <c r="M212" s="126">
        <f t="shared" si="49"/>
        <v>2.4</v>
      </c>
      <c r="N212" s="126">
        <f t="shared" si="50"/>
        <v>2.4</v>
      </c>
      <c r="O212" s="126">
        <f>IF(OR($B$22=constants!$B$60,AND(I212&gt;$B$12,$B$12&lt;&gt;-1)),O211+(N212-O211)*$O$74,O211+(L212-O211)*$O$74)</f>
        <v>2.4</v>
      </c>
      <c r="P212" s="126">
        <f t="shared" si="55"/>
        <v>2.38</v>
      </c>
      <c r="Q212" s="123">
        <f t="shared" si="43"/>
        <v>2</v>
      </c>
      <c r="R212" s="123">
        <f t="shared" si="62"/>
        <v>2</v>
      </c>
      <c r="S212" s="3">
        <f t="shared" si="56"/>
        <v>0</v>
      </c>
      <c r="T212" s="3">
        <f t="shared" si="56"/>
        <v>0</v>
      </c>
      <c r="U212" s="3">
        <f t="shared" si="56"/>
        <v>0</v>
      </c>
      <c r="V212" s="3">
        <f t="shared" si="63"/>
        <v>0</v>
      </c>
      <c r="W212" s="3">
        <f t="shared" si="64"/>
        <v>0</v>
      </c>
      <c r="X212" s="3">
        <f t="shared" si="65"/>
        <v>0</v>
      </c>
      <c r="Y212" s="3">
        <f t="shared" si="57"/>
        <v>0</v>
      </c>
      <c r="Z212" s="3">
        <f t="shared" si="58"/>
        <v>0</v>
      </c>
      <c r="AA212" s="3">
        <f t="shared" si="59"/>
        <v>0</v>
      </c>
    </row>
    <row r="213" spans="1:27" x14ac:dyDescent="0.25">
      <c r="A213" s="3">
        <f t="shared" si="54"/>
        <v>1</v>
      </c>
      <c r="B213" s="113">
        <f t="shared" si="60"/>
        <v>1.370000000000001</v>
      </c>
      <c r="C213" s="117">
        <f t="shared" si="52"/>
        <v>2.7477199999999975</v>
      </c>
      <c r="D213" s="117">
        <f t="shared" si="53"/>
        <v>1.0896800000000031</v>
      </c>
      <c r="E213" s="117">
        <f t="shared" si="48"/>
        <v>3.5091100000000006</v>
      </c>
      <c r="F213" s="117">
        <f t="shared" si="66"/>
        <v>3.5241100000000007</v>
      </c>
      <c r="G213" s="117">
        <f t="shared" si="51"/>
        <v>2.7477199999999975</v>
      </c>
      <c r="H213" s="117">
        <f t="shared" si="46"/>
        <v>3.1129999999999995</v>
      </c>
      <c r="I213" s="116">
        <f>IF($B$7=constants!$C$60,G213,IF($B$8=constants!$C$60,C213,E213))</f>
        <v>2.7477199999999975</v>
      </c>
      <c r="J213" s="116">
        <f>IF($B$7=constants!$C$60,H213,IF($B$8=constants!$C$60,D213,F213))</f>
        <v>1.0896800000000031</v>
      </c>
      <c r="K213" s="121">
        <f t="shared" si="61"/>
        <v>1</v>
      </c>
      <c r="L213" s="10">
        <f t="shared" si="42"/>
        <v>2.7477199999999975</v>
      </c>
      <c r="M213" s="126">
        <f t="shared" si="49"/>
        <v>2.4</v>
      </c>
      <c r="N213" s="126">
        <f t="shared" si="50"/>
        <v>2.4</v>
      </c>
      <c r="O213" s="126">
        <f>IF(OR($B$22=constants!$B$60,AND(I213&gt;$B$12,$B$12&lt;&gt;-1)),O212+(N213-O212)*$O$74,O212+(L213-O212)*$O$74)</f>
        <v>2.4</v>
      </c>
      <c r="P213" s="126">
        <f t="shared" si="55"/>
        <v>2.38</v>
      </c>
      <c r="Q213" s="123">
        <f t="shared" si="43"/>
        <v>2</v>
      </c>
      <c r="R213" s="123">
        <f t="shared" si="62"/>
        <v>2</v>
      </c>
      <c r="S213" s="3">
        <f t="shared" si="56"/>
        <v>0</v>
      </c>
      <c r="T213" s="3">
        <f t="shared" si="56"/>
        <v>0</v>
      </c>
      <c r="U213" s="3">
        <f t="shared" si="56"/>
        <v>0</v>
      </c>
      <c r="V213" s="3">
        <f t="shared" si="63"/>
        <v>0</v>
      </c>
      <c r="W213" s="3">
        <f t="shared" si="64"/>
        <v>0</v>
      </c>
      <c r="X213" s="3">
        <f t="shared" si="65"/>
        <v>0</v>
      </c>
      <c r="Y213" s="3">
        <f t="shared" si="57"/>
        <v>0</v>
      </c>
      <c r="Z213" s="3">
        <f t="shared" si="58"/>
        <v>0</v>
      </c>
      <c r="AA213" s="3">
        <f t="shared" si="59"/>
        <v>0</v>
      </c>
    </row>
    <row r="214" spans="1:27" x14ac:dyDescent="0.25">
      <c r="A214" s="3">
        <f t="shared" si="54"/>
        <v>1</v>
      </c>
      <c r="B214" s="113">
        <f t="shared" si="60"/>
        <v>1.380000000000001</v>
      </c>
      <c r="C214" s="117">
        <f t="shared" si="52"/>
        <v>2.7272799999999973</v>
      </c>
      <c r="D214" s="117">
        <f t="shared" si="53"/>
        <v>1.1263200000000033</v>
      </c>
      <c r="E214" s="117">
        <f t="shared" si="48"/>
        <v>3.5171400000000004</v>
      </c>
      <c r="F214" s="117">
        <f t="shared" si="66"/>
        <v>3.5321400000000005</v>
      </c>
      <c r="G214" s="117">
        <f t="shared" si="51"/>
        <v>2.7272799999999973</v>
      </c>
      <c r="H214" s="117">
        <f t="shared" si="46"/>
        <v>3.1129999999999995</v>
      </c>
      <c r="I214" s="116">
        <f>IF($B$7=constants!$C$60,G214,IF($B$8=constants!$C$60,C214,E214))</f>
        <v>2.7272799999999973</v>
      </c>
      <c r="J214" s="116">
        <f>IF($B$7=constants!$C$60,H214,IF($B$8=constants!$C$60,D214,F214))</f>
        <v>1.1263200000000033</v>
      </c>
      <c r="K214" s="121">
        <f t="shared" si="61"/>
        <v>1</v>
      </c>
      <c r="L214" s="10">
        <f t="shared" si="42"/>
        <v>2.7272799999999973</v>
      </c>
      <c r="M214" s="126">
        <f t="shared" si="49"/>
        <v>2.4</v>
      </c>
      <c r="N214" s="126">
        <f t="shared" si="50"/>
        <v>2.4</v>
      </c>
      <c r="O214" s="126">
        <f>IF(OR($B$22=constants!$B$60,AND(I214&gt;$B$12,$B$12&lt;&gt;-1)),O213+(N214-O213)*$O$74,O213+(L214-O213)*$O$74)</f>
        <v>2.4</v>
      </c>
      <c r="P214" s="126">
        <f t="shared" si="55"/>
        <v>2.38</v>
      </c>
      <c r="Q214" s="123">
        <f t="shared" si="43"/>
        <v>2</v>
      </c>
      <c r="R214" s="123">
        <f t="shared" si="62"/>
        <v>2</v>
      </c>
      <c r="S214" s="3">
        <f t="shared" si="56"/>
        <v>0</v>
      </c>
      <c r="T214" s="3">
        <f t="shared" si="56"/>
        <v>0</v>
      </c>
      <c r="U214" s="3">
        <f t="shared" si="56"/>
        <v>0</v>
      </c>
      <c r="V214" s="3">
        <f t="shared" si="63"/>
        <v>0</v>
      </c>
      <c r="W214" s="3">
        <f t="shared" si="64"/>
        <v>0</v>
      </c>
      <c r="X214" s="3">
        <f t="shared" si="65"/>
        <v>0</v>
      </c>
      <c r="Y214" s="3">
        <f t="shared" si="57"/>
        <v>0</v>
      </c>
      <c r="Z214" s="3">
        <f t="shared" si="58"/>
        <v>0</v>
      </c>
      <c r="AA214" s="3">
        <f t="shared" si="59"/>
        <v>0</v>
      </c>
    </row>
    <row r="215" spans="1:27" x14ac:dyDescent="0.25">
      <c r="A215" s="3">
        <f t="shared" si="54"/>
        <v>1</v>
      </c>
      <c r="B215" s="113">
        <f t="shared" si="60"/>
        <v>1.390000000000001</v>
      </c>
      <c r="C215" s="117">
        <f t="shared" si="52"/>
        <v>2.7068399999999975</v>
      </c>
      <c r="D215" s="117">
        <f t="shared" si="53"/>
        <v>1.1629600000000027</v>
      </c>
      <c r="E215" s="117">
        <f t="shared" si="48"/>
        <v>3.5251700000000006</v>
      </c>
      <c r="F215" s="117">
        <f t="shared" si="66"/>
        <v>3.5401700000000007</v>
      </c>
      <c r="G215" s="117">
        <f t="shared" si="51"/>
        <v>2.7068399999999975</v>
      </c>
      <c r="H215" s="117">
        <f t="shared" si="46"/>
        <v>3.1129999999999995</v>
      </c>
      <c r="I215" s="116">
        <f>IF($B$7=constants!$C$60,G215,IF($B$8=constants!$C$60,C215,E215))</f>
        <v>2.7068399999999975</v>
      </c>
      <c r="J215" s="116">
        <f>IF($B$7=constants!$C$60,H215,IF($B$8=constants!$C$60,D215,F215))</f>
        <v>1.1629600000000027</v>
      </c>
      <c r="K215" s="121">
        <f t="shared" si="61"/>
        <v>1</v>
      </c>
      <c r="L215" s="10">
        <f t="shared" si="42"/>
        <v>2.7068399999999975</v>
      </c>
      <c r="M215" s="126">
        <f t="shared" si="49"/>
        <v>2.4</v>
      </c>
      <c r="N215" s="126">
        <f t="shared" si="50"/>
        <v>2.4</v>
      </c>
      <c r="O215" s="126">
        <f>IF(OR($B$22=constants!$B$60,AND(I215&gt;$B$12,$B$12&lt;&gt;-1)),O214+(N215-O214)*$O$74,O214+(L215-O214)*$O$74)</f>
        <v>2.4</v>
      </c>
      <c r="P215" s="126">
        <f t="shared" si="55"/>
        <v>2.38</v>
      </c>
      <c r="Q215" s="123">
        <f t="shared" si="43"/>
        <v>2</v>
      </c>
      <c r="R215" s="123">
        <f t="shared" si="62"/>
        <v>2</v>
      </c>
      <c r="S215" s="3">
        <f t="shared" si="56"/>
        <v>0</v>
      </c>
      <c r="T215" s="3">
        <f t="shared" si="56"/>
        <v>0</v>
      </c>
      <c r="U215" s="3">
        <f t="shared" si="56"/>
        <v>0</v>
      </c>
      <c r="V215" s="3">
        <f t="shared" si="63"/>
        <v>0</v>
      </c>
      <c r="W215" s="3">
        <f t="shared" si="64"/>
        <v>0</v>
      </c>
      <c r="X215" s="3">
        <f t="shared" si="65"/>
        <v>0</v>
      </c>
      <c r="Y215" s="3">
        <f t="shared" si="57"/>
        <v>0</v>
      </c>
      <c r="Z215" s="3">
        <f t="shared" si="58"/>
        <v>0</v>
      </c>
      <c r="AA215" s="3">
        <f t="shared" si="59"/>
        <v>0</v>
      </c>
    </row>
    <row r="216" spans="1:27" x14ac:dyDescent="0.25">
      <c r="A216" s="3">
        <f t="shared" si="54"/>
        <v>1</v>
      </c>
      <c r="B216" s="113">
        <f t="shared" si="60"/>
        <v>1.400000000000001</v>
      </c>
      <c r="C216" s="117">
        <f t="shared" si="52"/>
        <v>2.6863999999999972</v>
      </c>
      <c r="D216" s="117">
        <f t="shared" si="53"/>
        <v>1.1996000000000029</v>
      </c>
      <c r="E216" s="117">
        <f t="shared" si="48"/>
        <v>3.5332000000000008</v>
      </c>
      <c r="F216" s="117">
        <f t="shared" si="66"/>
        <v>3.5482000000000009</v>
      </c>
      <c r="G216" s="117">
        <f t="shared" si="51"/>
        <v>2.6863999999999972</v>
      </c>
      <c r="H216" s="117">
        <f t="shared" si="46"/>
        <v>3.1129999999999995</v>
      </c>
      <c r="I216" s="116">
        <f>IF($B$7=constants!$C$60,G216,IF($B$8=constants!$C$60,C216,E216))</f>
        <v>2.6863999999999972</v>
      </c>
      <c r="J216" s="116">
        <f>IF($B$7=constants!$C$60,H216,IF($B$8=constants!$C$60,D216,F216))</f>
        <v>1.1996000000000029</v>
      </c>
      <c r="K216" s="121">
        <f t="shared" si="61"/>
        <v>1</v>
      </c>
      <c r="L216" s="10">
        <f t="shared" si="42"/>
        <v>2.6863999999999972</v>
      </c>
      <c r="M216" s="126">
        <f t="shared" si="49"/>
        <v>2.4</v>
      </c>
      <c r="N216" s="126">
        <f t="shared" si="50"/>
        <v>2.4</v>
      </c>
      <c r="O216" s="126">
        <f>IF(OR($B$22=constants!$B$60,AND(I216&gt;$B$12,$B$12&lt;&gt;-1)),O215+(N216-O215)*$O$74,O215+(L216-O215)*$O$74)</f>
        <v>2.4</v>
      </c>
      <c r="P216" s="126">
        <f t="shared" si="55"/>
        <v>2.38</v>
      </c>
      <c r="Q216" s="123">
        <f t="shared" si="43"/>
        <v>2</v>
      </c>
      <c r="R216" s="123">
        <f t="shared" si="62"/>
        <v>2</v>
      </c>
      <c r="S216" s="3">
        <f t="shared" si="56"/>
        <v>0</v>
      </c>
      <c r="T216" s="3">
        <f t="shared" si="56"/>
        <v>0</v>
      </c>
      <c r="U216" s="3">
        <f t="shared" si="56"/>
        <v>0</v>
      </c>
      <c r="V216" s="3">
        <f t="shared" si="63"/>
        <v>0</v>
      </c>
      <c r="W216" s="3">
        <f t="shared" si="64"/>
        <v>0</v>
      </c>
      <c r="X216" s="3">
        <f t="shared" si="65"/>
        <v>0</v>
      </c>
      <c r="Y216" s="3">
        <f t="shared" si="57"/>
        <v>0</v>
      </c>
      <c r="Z216" s="3">
        <f t="shared" si="58"/>
        <v>0</v>
      </c>
      <c r="AA216" s="3">
        <f t="shared" si="59"/>
        <v>0</v>
      </c>
    </row>
    <row r="217" spans="1:27" x14ac:dyDescent="0.25">
      <c r="A217" s="3">
        <f t="shared" si="54"/>
        <v>1</v>
      </c>
      <c r="B217" s="113">
        <f t="shared" si="60"/>
        <v>1.410000000000001</v>
      </c>
      <c r="C217" s="117">
        <f t="shared" si="52"/>
        <v>2.6659599999999974</v>
      </c>
      <c r="D217" s="117">
        <f t="shared" si="53"/>
        <v>1.2362400000000031</v>
      </c>
      <c r="E217" s="117">
        <f t="shared" si="48"/>
        <v>3.5412300000000005</v>
      </c>
      <c r="F217" s="117">
        <f t="shared" si="66"/>
        <v>3.5562300000000007</v>
      </c>
      <c r="G217" s="117">
        <f t="shared" si="51"/>
        <v>2.6659599999999974</v>
      </c>
      <c r="H217" s="117">
        <f t="shared" si="46"/>
        <v>3.1129999999999995</v>
      </c>
      <c r="I217" s="116">
        <f>IF($B$7=constants!$C$60,G217,IF($B$8=constants!$C$60,C217,E217))</f>
        <v>2.6659599999999974</v>
      </c>
      <c r="J217" s="116">
        <f>IF($B$7=constants!$C$60,H217,IF($B$8=constants!$C$60,D217,F217))</f>
        <v>1.2362400000000031</v>
      </c>
      <c r="K217" s="121">
        <f t="shared" si="61"/>
        <v>1</v>
      </c>
      <c r="L217" s="10">
        <f t="shared" si="42"/>
        <v>2.6659599999999974</v>
      </c>
      <c r="M217" s="126">
        <f t="shared" si="49"/>
        <v>2.4</v>
      </c>
      <c r="N217" s="126">
        <f t="shared" si="50"/>
        <v>2.4</v>
      </c>
      <c r="O217" s="126">
        <f>IF(OR($B$22=constants!$B$60,AND(I217&gt;$B$12,$B$12&lt;&gt;-1)),O216+(N217-O216)*$O$74,O216+(L217-O216)*$O$74)</f>
        <v>2.4</v>
      </c>
      <c r="P217" s="126">
        <f t="shared" si="55"/>
        <v>2.38</v>
      </c>
      <c r="Q217" s="123">
        <f t="shared" si="43"/>
        <v>2</v>
      </c>
      <c r="R217" s="123">
        <f t="shared" si="62"/>
        <v>2</v>
      </c>
      <c r="S217" s="3">
        <f t="shared" si="56"/>
        <v>0</v>
      </c>
      <c r="T217" s="3">
        <f t="shared" si="56"/>
        <v>0</v>
      </c>
      <c r="U217" s="3">
        <f t="shared" si="56"/>
        <v>0</v>
      </c>
      <c r="V217" s="3">
        <f t="shared" si="63"/>
        <v>0</v>
      </c>
      <c r="W217" s="3">
        <f t="shared" si="64"/>
        <v>0</v>
      </c>
      <c r="X217" s="3">
        <f t="shared" si="65"/>
        <v>0</v>
      </c>
      <c r="Y217" s="3">
        <f t="shared" si="57"/>
        <v>0</v>
      </c>
      <c r="Z217" s="3">
        <f t="shared" si="58"/>
        <v>0</v>
      </c>
      <c r="AA217" s="3">
        <f t="shared" si="59"/>
        <v>0</v>
      </c>
    </row>
    <row r="218" spans="1:27" x14ac:dyDescent="0.25">
      <c r="A218" s="3">
        <f t="shared" si="54"/>
        <v>1</v>
      </c>
      <c r="B218" s="113">
        <f t="shared" si="60"/>
        <v>1.420000000000001</v>
      </c>
      <c r="C218" s="117">
        <f t="shared" si="52"/>
        <v>2.6455199999999972</v>
      </c>
      <c r="D218" s="117">
        <f t="shared" si="53"/>
        <v>1.2728800000000033</v>
      </c>
      <c r="E218" s="117">
        <f t="shared" si="48"/>
        <v>3.5492600000000003</v>
      </c>
      <c r="F218" s="117">
        <f t="shared" si="66"/>
        <v>3.5642600000000004</v>
      </c>
      <c r="G218" s="117">
        <f t="shared" si="51"/>
        <v>2.6455199999999972</v>
      </c>
      <c r="H218" s="117">
        <f t="shared" si="46"/>
        <v>3.1129999999999995</v>
      </c>
      <c r="I218" s="116">
        <f>IF($B$7=constants!$C$60,G218,IF($B$8=constants!$C$60,C218,E218))</f>
        <v>2.6455199999999972</v>
      </c>
      <c r="J218" s="116">
        <f>IF($B$7=constants!$C$60,H218,IF($B$8=constants!$C$60,D218,F218))</f>
        <v>1.2728800000000033</v>
      </c>
      <c r="K218" s="121">
        <f t="shared" si="61"/>
        <v>1</v>
      </c>
      <c r="L218" s="10">
        <f t="shared" si="42"/>
        <v>2.6455199999999972</v>
      </c>
      <c r="M218" s="126">
        <f t="shared" si="49"/>
        <v>2.4</v>
      </c>
      <c r="N218" s="126">
        <f t="shared" si="50"/>
        <v>2.4</v>
      </c>
      <c r="O218" s="126">
        <f>IF(OR($B$22=constants!$B$60,AND(I218&gt;$B$12,$B$12&lt;&gt;-1)),O217+(N218-O217)*$O$74,O217+(L218-O217)*$O$74)</f>
        <v>2.4</v>
      </c>
      <c r="P218" s="126">
        <f t="shared" si="55"/>
        <v>2.38</v>
      </c>
      <c r="Q218" s="123">
        <f t="shared" si="43"/>
        <v>2</v>
      </c>
      <c r="R218" s="123">
        <f t="shared" si="62"/>
        <v>2</v>
      </c>
      <c r="S218" s="3">
        <f t="shared" si="56"/>
        <v>0</v>
      </c>
      <c r="T218" s="3">
        <f t="shared" si="56"/>
        <v>0</v>
      </c>
      <c r="U218" s="3">
        <f t="shared" si="56"/>
        <v>0</v>
      </c>
      <c r="V218" s="3">
        <f t="shared" si="63"/>
        <v>0</v>
      </c>
      <c r="W218" s="3">
        <f t="shared" si="64"/>
        <v>0</v>
      </c>
      <c r="X218" s="3">
        <f t="shared" si="65"/>
        <v>0</v>
      </c>
      <c r="Y218" s="3">
        <f t="shared" si="57"/>
        <v>0</v>
      </c>
      <c r="Z218" s="3">
        <f t="shared" si="58"/>
        <v>0</v>
      </c>
      <c r="AA218" s="3">
        <f t="shared" si="59"/>
        <v>0</v>
      </c>
    </row>
    <row r="219" spans="1:27" x14ac:dyDescent="0.25">
      <c r="A219" s="3">
        <f t="shared" si="54"/>
        <v>1</v>
      </c>
      <c r="B219" s="113">
        <f t="shared" si="60"/>
        <v>1.430000000000001</v>
      </c>
      <c r="C219" s="117">
        <f t="shared" si="52"/>
        <v>2.6250799999999974</v>
      </c>
      <c r="D219" s="117">
        <f t="shared" si="53"/>
        <v>1.3095200000000027</v>
      </c>
      <c r="E219" s="117">
        <f t="shared" si="48"/>
        <v>3.5572900000000005</v>
      </c>
      <c r="F219" s="117">
        <f t="shared" si="66"/>
        <v>3.5722900000000006</v>
      </c>
      <c r="G219" s="117">
        <f t="shared" si="51"/>
        <v>2.6250799999999974</v>
      </c>
      <c r="H219" s="117">
        <f t="shared" si="46"/>
        <v>3.1129999999999995</v>
      </c>
      <c r="I219" s="116">
        <f>IF($B$7=constants!$C$60,G219,IF($B$8=constants!$C$60,C219,E219))</f>
        <v>2.6250799999999974</v>
      </c>
      <c r="J219" s="116">
        <f>IF($B$7=constants!$C$60,H219,IF($B$8=constants!$C$60,D219,F219))</f>
        <v>1.3095200000000027</v>
      </c>
      <c r="K219" s="121">
        <f t="shared" si="61"/>
        <v>1</v>
      </c>
      <c r="L219" s="10">
        <f t="shared" si="42"/>
        <v>2.6250799999999974</v>
      </c>
      <c r="M219" s="126">
        <f t="shared" si="49"/>
        <v>2.4</v>
      </c>
      <c r="N219" s="126">
        <f t="shared" si="50"/>
        <v>2.4</v>
      </c>
      <c r="O219" s="126">
        <f>IF(OR($B$22=constants!$B$60,AND(I219&gt;$B$12,$B$12&lt;&gt;-1)),O218+(N219-O218)*$O$74,O218+(L219-O218)*$O$74)</f>
        <v>2.4</v>
      </c>
      <c r="P219" s="126">
        <f t="shared" si="55"/>
        <v>2.38</v>
      </c>
      <c r="Q219" s="123">
        <f t="shared" si="43"/>
        <v>2</v>
      </c>
      <c r="R219" s="123">
        <f t="shared" si="62"/>
        <v>2</v>
      </c>
      <c r="S219" s="3">
        <f t="shared" si="56"/>
        <v>0</v>
      </c>
      <c r="T219" s="3">
        <f t="shared" si="56"/>
        <v>0</v>
      </c>
      <c r="U219" s="3">
        <f t="shared" si="56"/>
        <v>0</v>
      </c>
      <c r="V219" s="3">
        <f t="shared" si="63"/>
        <v>0</v>
      </c>
      <c r="W219" s="3">
        <f t="shared" si="64"/>
        <v>0</v>
      </c>
      <c r="X219" s="3">
        <f t="shared" si="65"/>
        <v>0</v>
      </c>
      <c r="Y219" s="3">
        <f t="shared" si="57"/>
        <v>0</v>
      </c>
      <c r="Z219" s="3">
        <f t="shared" si="58"/>
        <v>0</v>
      </c>
      <c r="AA219" s="3">
        <f t="shared" si="59"/>
        <v>0</v>
      </c>
    </row>
    <row r="220" spans="1:27" x14ac:dyDescent="0.25">
      <c r="A220" s="3">
        <f t="shared" si="54"/>
        <v>1</v>
      </c>
      <c r="B220" s="113">
        <f t="shared" si="60"/>
        <v>1.4400000000000011</v>
      </c>
      <c r="C220" s="117">
        <f t="shared" si="52"/>
        <v>2.6046399999999972</v>
      </c>
      <c r="D220" s="117">
        <f t="shared" si="53"/>
        <v>1.3461600000000029</v>
      </c>
      <c r="E220" s="117">
        <f t="shared" si="48"/>
        <v>3.5653200000000007</v>
      </c>
      <c r="F220" s="117">
        <f t="shared" si="66"/>
        <v>3.5803200000000008</v>
      </c>
      <c r="G220" s="117">
        <f t="shared" si="51"/>
        <v>2.6046399999999972</v>
      </c>
      <c r="H220" s="117">
        <f t="shared" si="46"/>
        <v>3.1129999999999995</v>
      </c>
      <c r="I220" s="116">
        <f>IF($B$7=constants!$C$60,G220,IF($B$8=constants!$C$60,C220,E220))</f>
        <v>2.6046399999999972</v>
      </c>
      <c r="J220" s="116">
        <f>IF($B$7=constants!$C$60,H220,IF($B$8=constants!$C$60,D220,F220))</f>
        <v>1.3461600000000029</v>
      </c>
      <c r="K220" s="121">
        <f t="shared" si="61"/>
        <v>1</v>
      </c>
      <c r="L220" s="10">
        <f t="shared" si="42"/>
        <v>2.6046399999999972</v>
      </c>
      <c r="M220" s="126">
        <f t="shared" si="49"/>
        <v>2.4</v>
      </c>
      <c r="N220" s="126">
        <f t="shared" si="50"/>
        <v>2.4</v>
      </c>
      <c r="O220" s="126">
        <f>IF(OR($B$22=constants!$B$60,AND(I220&gt;$B$12,$B$12&lt;&gt;-1)),O219+(N220-O219)*$O$74,O219+(L220-O219)*$O$74)</f>
        <v>2.4</v>
      </c>
      <c r="P220" s="126">
        <f t="shared" si="55"/>
        <v>2.38</v>
      </c>
      <c r="Q220" s="123">
        <f t="shared" si="43"/>
        <v>2</v>
      </c>
      <c r="R220" s="123">
        <f t="shared" si="62"/>
        <v>2</v>
      </c>
      <c r="S220" s="3">
        <f t="shared" si="56"/>
        <v>0</v>
      </c>
      <c r="T220" s="3">
        <f t="shared" si="56"/>
        <v>0</v>
      </c>
      <c r="U220" s="3">
        <f t="shared" si="56"/>
        <v>0</v>
      </c>
      <c r="V220" s="3">
        <f t="shared" si="63"/>
        <v>0</v>
      </c>
      <c r="W220" s="3">
        <f t="shared" si="64"/>
        <v>0</v>
      </c>
      <c r="X220" s="3">
        <f t="shared" si="65"/>
        <v>0</v>
      </c>
      <c r="Y220" s="3">
        <f t="shared" si="57"/>
        <v>0</v>
      </c>
      <c r="Z220" s="3">
        <f t="shared" si="58"/>
        <v>0</v>
      </c>
      <c r="AA220" s="3">
        <f t="shared" si="59"/>
        <v>0</v>
      </c>
    </row>
    <row r="221" spans="1:27" x14ac:dyDescent="0.25">
      <c r="A221" s="3">
        <f t="shared" si="54"/>
        <v>1</v>
      </c>
      <c r="B221" s="113">
        <f t="shared" si="60"/>
        <v>1.4500000000000011</v>
      </c>
      <c r="C221" s="117">
        <f t="shared" si="52"/>
        <v>2.5841999999999969</v>
      </c>
      <c r="D221" s="117">
        <f t="shared" si="53"/>
        <v>1.3828000000000031</v>
      </c>
      <c r="E221" s="117">
        <f t="shared" si="48"/>
        <v>3.5733500000000005</v>
      </c>
      <c r="F221" s="117">
        <f t="shared" si="66"/>
        <v>3.5883500000000006</v>
      </c>
      <c r="G221" s="117">
        <f t="shared" si="51"/>
        <v>2.5841999999999969</v>
      </c>
      <c r="H221" s="117">
        <f t="shared" si="46"/>
        <v>3.1129999999999995</v>
      </c>
      <c r="I221" s="116">
        <f>IF($B$7=constants!$C$60,G221,IF($B$8=constants!$C$60,C221,E221))</f>
        <v>2.5841999999999969</v>
      </c>
      <c r="J221" s="116">
        <f>IF($B$7=constants!$C$60,H221,IF($B$8=constants!$C$60,D221,F221))</f>
        <v>1.3828000000000031</v>
      </c>
      <c r="K221" s="121">
        <f t="shared" si="61"/>
        <v>1</v>
      </c>
      <c r="L221" s="10">
        <f t="shared" si="42"/>
        <v>2.5841999999999969</v>
      </c>
      <c r="M221" s="126">
        <f t="shared" si="49"/>
        <v>2.4</v>
      </c>
      <c r="N221" s="126">
        <f t="shared" si="50"/>
        <v>2.4</v>
      </c>
      <c r="O221" s="126">
        <f>IF(OR($B$22=constants!$B$60,AND(I221&gt;$B$12,$B$12&lt;&gt;-1)),O220+(N221-O220)*$O$74,O220+(L221-O220)*$O$74)</f>
        <v>2.4</v>
      </c>
      <c r="P221" s="126">
        <f t="shared" si="55"/>
        <v>2.38</v>
      </c>
      <c r="Q221" s="123">
        <f t="shared" si="43"/>
        <v>2</v>
      </c>
      <c r="R221" s="123">
        <f t="shared" si="62"/>
        <v>2</v>
      </c>
      <c r="S221" s="3">
        <f t="shared" si="56"/>
        <v>0</v>
      </c>
      <c r="T221" s="3">
        <f t="shared" si="56"/>
        <v>0</v>
      </c>
      <c r="U221" s="3">
        <f t="shared" si="56"/>
        <v>0</v>
      </c>
      <c r="V221" s="3">
        <f t="shared" si="63"/>
        <v>0</v>
      </c>
      <c r="W221" s="3">
        <f t="shared" si="64"/>
        <v>0</v>
      </c>
      <c r="X221" s="3">
        <f t="shared" si="65"/>
        <v>0</v>
      </c>
      <c r="Y221" s="3">
        <f t="shared" si="57"/>
        <v>0</v>
      </c>
      <c r="Z221" s="3">
        <f t="shared" si="58"/>
        <v>0</v>
      </c>
      <c r="AA221" s="3">
        <f t="shared" si="59"/>
        <v>0</v>
      </c>
    </row>
    <row r="222" spans="1:27" x14ac:dyDescent="0.25">
      <c r="A222" s="3">
        <f t="shared" si="54"/>
        <v>1</v>
      </c>
      <c r="B222" s="113">
        <f t="shared" si="60"/>
        <v>1.4600000000000011</v>
      </c>
      <c r="C222" s="117">
        <f t="shared" si="52"/>
        <v>2.5637599999999972</v>
      </c>
      <c r="D222" s="117">
        <f t="shared" si="53"/>
        <v>1.4194400000000034</v>
      </c>
      <c r="E222" s="117">
        <f t="shared" si="48"/>
        <v>3.5813800000000007</v>
      </c>
      <c r="F222" s="117">
        <f t="shared" si="66"/>
        <v>3.5963800000000008</v>
      </c>
      <c r="G222" s="117">
        <f t="shared" si="51"/>
        <v>2.5637599999999972</v>
      </c>
      <c r="H222" s="117">
        <f t="shared" si="46"/>
        <v>3.1129999999999995</v>
      </c>
      <c r="I222" s="116">
        <f>IF($B$7=constants!$C$60,G222,IF($B$8=constants!$C$60,C222,E222))</f>
        <v>2.5637599999999972</v>
      </c>
      <c r="J222" s="116">
        <f>IF($B$7=constants!$C$60,H222,IF($B$8=constants!$C$60,D222,F222))</f>
        <v>1.4194400000000034</v>
      </c>
      <c r="K222" s="121">
        <f t="shared" si="61"/>
        <v>1</v>
      </c>
      <c r="L222" s="10">
        <f t="shared" si="42"/>
        <v>2.5637599999999972</v>
      </c>
      <c r="M222" s="126">
        <f t="shared" si="49"/>
        <v>2.4</v>
      </c>
      <c r="N222" s="126">
        <f t="shared" si="50"/>
        <v>2.4</v>
      </c>
      <c r="O222" s="126">
        <f>IF(OR($B$22=constants!$B$60,AND(I222&gt;$B$12,$B$12&lt;&gt;-1)),O221+(N222-O221)*$O$74,O221+(L222-O221)*$O$74)</f>
        <v>2.4</v>
      </c>
      <c r="P222" s="126">
        <f t="shared" si="55"/>
        <v>2.38</v>
      </c>
      <c r="Q222" s="123">
        <f t="shared" si="43"/>
        <v>2</v>
      </c>
      <c r="R222" s="123">
        <f t="shared" si="62"/>
        <v>2</v>
      </c>
      <c r="S222" s="3">
        <f t="shared" si="56"/>
        <v>0</v>
      </c>
      <c r="T222" s="3">
        <f t="shared" si="56"/>
        <v>0</v>
      </c>
      <c r="U222" s="3">
        <f t="shared" si="56"/>
        <v>0</v>
      </c>
      <c r="V222" s="3">
        <f t="shared" si="63"/>
        <v>0</v>
      </c>
      <c r="W222" s="3">
        <f t="shared" si="64"/>
        <v>0</v>
      </c>
      <c r="X222" s="3">
        <f t="shared" si="65"/>
        <v>0</v>
      </c>
      <c r="Y222" s="3">
        <f t="shared" si="57"/>
        <v>0</v>
      </c>
      <c r="Z222" s="3">
        <f t="shared" si="58"/>
        <v>0</v>
      </c>
      <c r="AA222" s="3">
        <f t="shared" si="59"/>
        <v>0</v>
      </c>
    </row>
    <row r="223" spans="1:27" x14ac:dyDescent="0.25">
      <c r="A223" s="3">
        <f t="shared" si="54"/>
        <v>1</v>
      </c>
      <c r="B223" s="113">
        <f t="shared" si="60"/>
        <v>1.4700000000000011</v>
      </c>
      <c r="C223" s="117">
        <f t="shared" si="52"/>
        <v>2.5433199999999969</v>
      </c>
      <c r="D223" s="117">
        <f t="shared" si="53"/>
        <v>1.4560800000000036</v>
      </c>
      <c r="E223" s="117">
        <f t="shared" si="48"/>
        <v>3.5894100000000009</v>
      </c>
      <c r="F223" s="117">
        <f t="shared" si="66"/>
        <v>3.604410000000001</v>
      </c>
      <c r="G223" s="117">
        <f t="shared" si="51"/>
        <v>2.5433199999999969</v>
      </c>
      <c r="H223" s="117">
        <f t="shared" si="46"/>
        <v>3.1129999999999995</v>
      </c>
      <c r="I223" s="116">
        <f>IF($B$7=constants!$C$60,G223,IF($B$8=constants!$C$60,C223,E223))</f>
        <v>2.5433199999999969</v>
      </c>
      <c r="J223" s="116">
        <f>IF($B$7=constants!$C$60,H223,IF($B$8=constants!$C$60,D223,F223))</f>
        <v>1.4560800000000036</v>
      </c>
      <c r="K223" s="121">
        <f t="shared" si="61"/>
        <v>1</v>
      </c>
      <c r="L223" s="10">
        <f t="shared" si="42"/>
        <v>2.5433199999999969</v>
      </c>
      <c r="M223" s="126">
        <f t="shared" si="49"/>
        <v>2.4</v>
      </c>
      <c r="N223" s="126">
        <f t="shared" si="50"/>
        <v>2.4</v>
      </c>
      <c r="O223" s="126">
        <f>IF(OR($B$22=constants!$B$60,AND(I223&gt;$B$12,$B$12&lt;&gt;-1)),O222+(N223-O222)*$O$74,O222+(L223-O222)*$O$74)</f>
        <v>2.4</v>
      </c>
      <c r="P223" s="126">
        <f t="shared" si="55"/>
        <v>2.38</v>
      </c>
      <c r="Q223" s="123">
        <f t="shared" si="43"/>
        <v>2</v>
      </c>
      <c r="R223" s="123">
        <f t="shared" si="62"/>
        <v>2</v>
      </c>
      <c r="S223" s="3">
        <f t="shared" si="56"/>
        <v>0</v>
      </c>
      <c r="T223" s="3">
        <f t="shared" si="56"/>
        <v>0</v>
      </c>
      <c r="U223" s="3">
        <f t="shared" si="56"/>
        <v>0</v>
      </c>
      <c r="V223" s="3">
        <f t="shared" si="63"/>
        <v>0</v>
      </c>
      <c r="W223" s="3">
        <f t="shared" si="64"/>
        <v>0</v>
      </c>
      <c r="X223" s="3">
        <f t="shared" si="65"/>
        <v>0</v>
      </c>
      <c r="Y223" s="3">
        <f t="shared" si="57"/>
        <v>0</v>
      </c>
      <c r="Z223" s="3">
        <f t="shared" si="58"/>
        <v>0</v>
      </c>
      <c r="AA223" s="3">
        <f t="shared" si="59"/>
        <v>0</v>
      </c>
    </row>
    <row r="224" spans="1:27" x14ac:dyDescent="0.25">
      <c r="A224" s="3">
        <f t="shared" si="54"/>
        <v>1</v>
      </c>
      <c r="B224" s="113">
        <f t="shared" si="60"/>
        <v>1.4800000000000011</v>
      </c>
      <c r="C224" s="117">
        <f t="shared" si="52"/>
        <v>2.5228799999999971</v>
      </c>
      <c r="D224" s="117">
        <f t="shared" si="53"/>
        <v>1.4927200000000029</v>
      </c>
      <c r="E224" s="117">
        <f t="shared" si="48"/>
        <v>3.5974400000000006</v>
      </c>
      <c r="F224" s="117">
        <f t="shared" si="66"/>
        <v>3.6124400000000008</v>
      </c>
      <c r="G224" s="117">
        <f t="shared" si="51"/>
        <v>2.5228799999999971</v>
      </c>
      <c r="H224" s="117">
        <f t="shared" si="46"/>
        <v>3.1129999999999995</v>
      </c>
      <c r="I224" s="116">
        <f>IF($B$7=constants!$C$60,G224,IF($B$8=constants!$C$60,C224,E224))</f>
        <v>2.5228799999999971</v>
      </c>
      <c r="J224" s="116">
        <f>IF($B$7=constants!$C$60,H224,IF($B$8=constants!$C$60,D224,F224))</f>
        <v>1.4927200000000029</v>
      </c>
      <c r="K224" s="121">
        <f t="shared" si="61"/>
        <v>1</v>
      </c>
      <c r="L224" s="10">
        <f t="shared" si="42"/>
        <v>2.5228799999999971</v>
      </c>
      <c r="M224" s="126">
        <f t="shared" si="49"/>
        <v>2.4</v>
      </c>
      <c r="N224" s="126">
        <f t="shared" si="50"/>
        <v>2.4</v>
      </c>
      <c r="O224" s="126">
        <f>IF(OR($B$22=constants!$B$60,AND(I224&gt;$B$12,$B$12&lt;&gt;-1)),O223+(N224-O223)*$O$74,O223+(L224-O223)*$O$74)</f>
        <v>2.4</v>
      </c>
      <c r="P224" s="126">
        <f t="shared" si="55"/>
        <v>2.38</v>
      </c>
      <c r="Q224" s="123">
        <f t="shared" si="43"/>
        <v>2</v>
      </c>
      <c r="R224" s="123">
        <f t="shared" si="62"/>
        <v>2</v>
      </c>
      <c r="S224" s="3">
        <f t="shared" si="56"/>
        <v>0</v>
      </c>
      <c r="T224" s="3">
        <f t="shared" si="56"/>
        <v>0</v>
      </c>
      <c r="U224" s="3">
        <f t="shared" si="56"/>
        <v>0</v>
      </c>
      <c r="V224" s="3">
        <f t="shared" si="63"/>
        <v>0</v>
      </c>
      <c r="W224" s="3">
        <f t="shared" si="64"/>
        <v>0</v>
      </c>
      <c r="X224" s="3">
        <f t="shared" si="65"/>
        <v>0</v>
      </c>
      <c r="Y224" s="3">
        <f t="shared" si="57"/>
        <v>0</v>
      </c>
      <c r="Z224" s="3">
        <f t="shared" si="58"/>
        <v>0</v>
      </c>
      <c r="AA224" s="3">
        <f t="shared" si="59"/>
        <v>0</v>
      </c>
    </row>
    <row r="225" spans="1:27" x14ac:dyDescent="0.25">
      <c r="A225" s="3">
        <f t="shared" si="54"/>
        <v>1</v>
      </c>
      <c r="B225" s="113">
        <f t="shared" si="60"/>
        <v>1.4900000000000011</v>
      </c>
      <c r="C225" s="117">
        <f t="shared" si="52"/>
        <v>2.5024399999999969</v>
      </c>
      <c r="D225" s="117">
        <f t="shared" si="53"/>
        <v>1.5293600000000032</v>
      </c>
      <c r="E225" s="117">
        <f t="shared" si="48"/>
        <v>3.6054700000000004</v>
      </c>
      <c r="F225" s="117">
        <f t="shared" si="66"/>
        <v>3.6204700000000005</v>
      </c>
      <c r="G225" s="117">
        <f t="shared" si="51"/>
        <v>2.5024399999999969</v>
      </c>
      <c r="H225" s="117">
        <f t="shared" si="46"/>
        <v>3.1129999999999995</v>
      </c>
      <c r="I225" s="116">
        <f>IF($B$7=constants!$C$60,G225,IF($B$8=constants!$C$60,C225,E225))</f>
        <v>2.5024399999999969</v>
      </c>
      <c r="J225" s="116">
        <f>IF($B$7=constants!$C$60,H225,IF($B$8=constants!$C$60,D225,F225))</f>
        <v>1.5293600000000032</v>
      </c>
      <c r="K225" s="121">
        <f t="shared" si="61"/>
        <v>1</v>
      </c>
      <c r="L225" s="10">
        <f t="shared" si="42"/>
        <v>2.5024399999999969</v>
      </c>
      <c r="M225" s="126">
        <f t="shared" si="49"/>
        <v>2.4</v>
      </c>
      <c r="N225" s="126">
        <f t="shared" si="50"/>
        <v>2.4</v>
      </c>
      <c r="O225" s="126">
        <f>IF(OR($B$22=constants!$B$60,AND(I225&gt;$B$12,$B$12&lt;&gt;-1)),O224+(N225-O224)*$O$74,O224+(L225-O224)*$O$74)</f>
        <v>2.4</v>
      </c>
      <c r="P225" s="126">
        <f t="shared" si="55"/>
        <v>2.38</v>
      </c>
      <c r="Q225" s="123">
        <f t="shared" si="43"/>
        <v>2</v>
      </c>
      <c r="R225" s="123">
        <f t="shared" si="62"/>
        <v>2</v>
      </c>
      <c r="S225" s="3">
        <f t="shared" si="56"/>
        <v>0</v>
      </c>
      <c r="T225" s="3">
        <f t="shared" si="56"/>
        <v>0</v>
      </c>
      <c r="U225" s="3">
        <f t="shared" si="56"/>
        <v>0</v>
      </c>
      <c r="V225" s="3">
        <f t="shared" si="63"/>
        <v>0</v>
      </c>
      <c r="W225" s="3">
        <f t="shared" si="64"/>
        <v>0</v>
      </c>
      <c r="X225" s="3">
        <f t="shared" si="65"/>
        <v>0</v>
      </c>
      <c r="Y225" s="3">
        <f t="shared" si="57"/>
        <v>0</v>
      </c>
      <c r="Z225" s="3">
        <f t="shared" si="58"/>
        <v>0</v>
      </c>
      <c r="AA225" s="3">
        <f t="shared" si="59"/>
        <v>0</v>
      </c>
    </row>
    <row r="226" spans="1:27" x14ac:dyDescent="0.25">
      <c r="A226" s="3">
        <f t="shared" si="54"/>
        <v>1</v>
      </c>
      <c r="B226" s="113">
        <f t="shared" si="60"/>
        <v>1.5000000000000011</v>
      </c>
      <c r="C226" s="117">
        <f>$D$19*B226+$D$20</f>
        <v>2.482000000000002</v>
      </c>
      <c r="D226" s="117">
        <f t="shared" si="53"/>
        <v>1.5660000000000034</v>
      </c>
      <c r="E226" s="117">
        <f t="shared" si="48"/>
        <v>3.6135000000000006</v>
      </c>
      <c r="F226" s="117">
        <f t="shared" si="66"/>
        <v>3.6285000000000007</v>
      </c>
      <c r="G226" s="117">
        <f>B226*$H$51+$H$52</f>
        <v>2.482000000000002</v>
      </c>
      <c r="H226" s="117">
        <f t="shared" si="46"/>
        <v>3.1129999999999995</v>
      </c>
      <c r="I226" s="116">
        <f>IF($B$7=constants!$C$60,G226,IF($B$8=constants!$C$60,C226,E226))</f>
        <v>2.482000000000002</v>
      </c>
      <c r="J226" s="116">
        <f>IF($B$7=constants!$C$60,H226,IF($B$8=constants!$C$60,D226,F226))</f>
        <v>1.5660000000000034</v>
      </c>
      <c r="K226" s="121">
        <f t="shared" si="61"/>
        <v>1</v>
      </c>
      <c r="L226" s="10">
        <f t="shared" si="42"/>
        <v>2.482000000000002</v>
      </c>
      <c r="M226" s="126">
        <f t="shared" si="49"/>
        <v>2.4</v>
      </c>
      <c r="N226" s="126">
        <f t="shared" si="50"/>
        <v>2.4</v>
      </c>
      <c r="O226" s="126">
        <f>IF(OR($B$22=constants!$B$60,AND(I226&gt;$B$12,$B$12&lt;&gt;-1)),O225+(N226-O225)*$O$74,O225+(L226-O225)*$O$74)</f>
        <v>2.4</v>
      </c>
      <c r="P226" s="126">
        <f t="shared" si="55"/>
        <v>2.38</v>
      </c>
      <c r="Q226" s="123">
        <f t="shared" si="43"/>
        <v>2</v>
      </c>
      <c r="R226" s="123">
        <f t="shared" si="62"/>
        <v>2</v>
      </c>
      <c r="S226" s="3">
        <f t="shared" si="56"/>
        <v>0</v>
      </c>
      <c r="T226" s="3">
        <f t="shared" si="56"/>
        <v>0</v>
      </c>
      <c r="U226" s="3">
        <f t="shared" si="56"/>
        <v>0</v>
      </c>
      <c r="V226" s="3">
        <f t="shared" si="63"/>
        <v>0</v>
      </c>
      <c r="W226" s="3">
        <f t="shared" si="64"/>
        <v>0</v>
      </c>
      <c r="X226" s="3">
        <f t="shared" si="65"/>
        <v>0</v>
      </c>
      <c r="Y226" s="3">
        <f t="shared" si="57"/>
        <v>0</v>
      </c>
      <c r="Z226" s="3">
        <f t="shared" si="58"/>
        <v>0</v>
      </c>
      <c r="AA226" s="3">
        <f t="shared" si="59"/>
        <v>0</v>
      </c>
    </row>
    <row r="227" spans="1:27" x14ac:dyDescent="0.25">
      <c r="A227" s="3">
        <f t="shared" si="54"/>
        <v>1</v>
      </c>
      <c r="B227" s="113">
        <f t="shared" si="60"/>
        <v>1.5100000000000011</v>
      </c>
      <c r="C227" s="117">
        <f t="shared" ref="C227:C250" si="67">$D$19*B227+$D$20</f>
        <v>2.5024400000000022</v>
      </c>
      <c r="D227" s="117">
        <f>D226</f>
        <v>1.5660000000000034</v>
      </c>
      <c r="E227" s="117">
        <f t="shared" si="48"/>
        <v>3.6215300000000008</v>
      </c>
      <c r="F227" s="117">
        <f t="shared" si="66"/>
        <v>3.6365300000000009</v>
      </c>
      <c r="G227" s="117">
        <f t="shared" ref="G227:G250" si="68">B227*$H$51+$H$52</f>
        <v>2.5024400000000022</v>
      </c>
      <c r="H227" s="117">
        <f t="shared" si="46"/>
        <v>3.1129999999999995</v>
      </c>
      <c r="I227" s="116">
        <f>IF($B$7=constants!$C$60,G227,IF($B$8=constants!$C$60,C227,E227))</f>
        <v>2.5024400000000022</v>
      </c>
      <c r="J227" s="116">
        <f>IF($B$7=constants!$C$60,H227,IF($B$8=constants!$C$60,D227,F227))</f>
        <v>1.5660000000000034</v>
      </c>
      <c r="K227" s="121">
        <f t="shared" si="61"/>
        <v>1</v>
      </c>
      <c r="L227" s="10">
        <f t="shared" si="42"/>
        <v>2.5024400000000022</v>
      </c>
      <c r="M227" s="126">
        <f t="shared" si="49"/>
        <v>2.4</v>
      </c>
      <c r="N227" s="126">
        <f t="shared" si="50"/>
        <v>2.4</v>
      </c>
      <c r="O227" s="126">
        <f>IF(OR($B$22=constants!$B$60,AND(I227&gt;$B$12,$B$12&lt;&gt;-1)),O226+(N227-O226)*$O$74,O226+(L227-O226)*$O$74)</f>
        <v>2.4</v>
      </c>
      <c r="P227" s="126">
        <f t="shared" si="55"/>
        <v>2.38</v>
      </c>
      <c r="Q227" s="123">
        <f t="shared" si="43"/>
        <v>2</v>
      </c>
      <c r="R227" s="123">
        <f t="shared" si="62"/>
        <v>2</v>
      </c>
      <c r="S227" s="3">
        <f t="shared" si="56"/>
        <v>0</v>
      </c>
      <c r="T227" s="3">
        <f t="shared" si="56"/>
        <v>0</v>
      </c>
      <c r="U227" s="3">
        <f t="shared" si="56"/>
        <v>0</v>
      </c>
      <c r="V227" s="3">
        <f t="shared" si="63"/>
        <v>0</v>
      </c>
      <c r="W227" s="3">
        <f t="shared" si="64"/>
        <v>0</v>
      </c>
      <c r="X227" s="3">
        <f t="shared" si="65"/>
        <v>0</v>
      </c>
      <c r="Y227" s="3">
        <f t="shared" si="57"/>
        <v>0</v>
      </c>
      <c r="Z227" s="3">
        <f t="shared" si="58"/>
        <v>0</v>
      </c>
      <c r="AA227" s="3">
        <f t="shared" si="59"/>
        <v>0</v>
      </c>
    </row>
    <row r="228" spans="1:27" x14ac:dyDescent="0.25">
      <c r="A228" s="3">
        <f t="shared" si="54"/>
        <v>1</v>
      </c>
      <c r="B228" s="113">
        <f t="shared" si="60"/>
        <v>1.5200000000000011</v>
      </c>
      <c r="C228" s="117">
        <f t="shared" si="67"/>
        <v>2.522880000000002</v>
      </c>
      <c r="D228" s="117">
        <f t="shared" ref="D228:D250" si="69">D227</f>
        <v>1.5660000000000034</v>
      </c>
      <c r="E228" s="117">
        <f t="shared" si="48"/>
        <v>3.6295600000000006</v>
      </c>
      <c r="F228" s="117">
        <f t="shared" si="66"/>
        <v>3.6445600000000007</v>
      </c>
      <c r="G228" s="117">
        <f t="shared" si="68"/>
        <v>2.522880000000002</v>
      </c>
      <c r="H228" s="117">
        <f t="shared" si="46"/>
        <v>3.1129999999999995</v>
      </c>
      <c r="I228" s="116">
        <f>IF($B$7=constants!$C$60,G228,IF($B$8=constants!$C$60,C228,E228))</f>
        <v>2.522880000000002</v>
      </c>
      <c r="J228" s="116">
        <f>IF($B$7=constants!$C$60,H228,IF($B$8=constants!$C$60,D228,F228))</f>
        <v>1.5660000000000034</v>
      </c>
      <c r="K228" s="121">
        <f t="shared" si="61"/>
        <v>1</v>
      </c>
      <c r="L228" s="10">
        <f t="shared" si="42"/>
        <v>2.522880000000002</v>
      </c>
      <c r="M228" s="126">
        <f t="shared" si="49"/>
        <v>2.4</v>
      </c>
      <c r="N228" s="126">
        <f t="shared" si="50"/>
        <v>2.4</v>
      </c>
      <c r="O228" s="126">
        <f>IF(OR($B$22=constants!$B$60,AND(I228&gt;$B$12,$B$12&lt;&gt;-1)),O227+(N228-O227)*$O$74,O227+(L228-O227)*$O$74)</f>
        <v>2.4</v>
      </c>
      <c r="P228" s="126">
        <f t="shared" si="55"/>
        <v>2.38</v>
      </c>
      <c r="Q228" s="123">
        <f t="shared" si="43"/>
        <v>2</v>
      </c>
      <c r="R228" s="123">
        <f t="shared" si="62"/>
        <v>2</v>
      </c>
      <c r="S228" s="3">
        <f t="shared" si="56"/>
        <v>0</v>
      </c>
      <c r="T228" s="3">
        <f t="shared" si="56"/>
        <v>0</v>
      </c>
      <c r="U228" s="3">
        <f t="shared" si="56"/>
        <v>0</v>
      </c>
      <c r="V228" s="3">
        <f t="shared" si="63"/>
        <v>0</v>
      </c>
      <c r="W228" s="3">
        <f t="shared" si="64"/>
        <v>0</v>
      </c>
      <c r="X228" s="3">
        <f t="shared" si="65"/>
        <v>0</v>
      </c>
      <c r="Y228" s="3">
        <f t="shared" si="57"/>
        <v>0</v>
      </c>
      <c r="Z228" s="3">
        <f t="shared" si="58"/>
        <v>0</v>
      </c>
      <c r="AA228" s="3">
        <f t="shared" si="59"/>
        <v>0</v>
      </c>
    </row>
    <row r="229" spans="1:27" x14ac:dyDescent="0.25">
      <c r="A229" s="3">
        <f t="shared" si="54"/>
        <v>1</v>
      </c>
      <c r="B229" s="113">
        <f t="shared" si="60"/>
        <v>1.5300000000000011</v>
      </c>
      <c r="C229" s="117">
        <f t="shared" si="67"/>
        <v>2.5433200000000022</v>
      </c>
      <c r="D229" s="117">
        <f t="shared" si="69"/>
        <v>1.5660000000000034</v>
      </c>
      <c r="E229" s="117">
        <f t="shared" si="48"/>
        <v>3.6375900000000003</v>
      </c>
      <c r="F229" s="117">
        <f t="shared" si="66"/>
        <v>3.6525900000000004</v>
      </c>
      <c r="G229" s="117">
        <f t="shared" si="68"/>
        <v>2.5433200000000022</v>
      </c>
      <c r="H229" s="117">
        <f t="shared" si="46"/>
        <v>3.1129999999999995</v>
      </c>
      <c r="I229" s="116">
        <f>IF($B$7=constants!$C$60,G229,IF($B$8=constants!$C$60,C229,E229))</f>
        <v>2.5433200000000022</v>
      </c>
      <c r="J229" s="116">
        <f>IF($B$7=constants!$C$60,H229,IF($B$8=constants!$C$60,D229,F229))</f>
        <v>1.5660000000000034</v>
      </c>
      <c r="K229" s="121">
        <f t="shared" si="61"/>
        <v>1</v>
      </c>
      <c r="L229" s="10">
        <f t="shared" si="42"/>
        <v>2.5433200000000022</v>
      </c>
      <c r="M229" s="126">
        <f t="shared" si="49"/>
        <v>2.4</v>
      </c>
      <c r="N229" s="126">
        <f t="shared" si="50"/>
        <v>2.4</v>
      </c>
      <c r="O229" s="126">
        <f>IF(OR($B$22=constants!$B$60,AND(I229&gt;$B$12,$B$12&lt;&gt;-1)),O228+(N229-O228)*$O$74,O228+(L229-O228)*$O$74)</f>
        <v>2.4</v>
      </c>
      <c r="P229" s="126">
        <f t="shared" si="55"/>
        <v>2.38</v>
      </c>
      <c r="Q229" s="123">
        <f t="shared" si="43"/>
        <v>2</v>
      </c>
      <c r="R229" s="123">
        <f t="shared" si="62"/>
        <v>2</v>
      </c>
      <c r="S229" s="3">
        <f t="shared" si="56"/>
        <v>0</v>
      </c>
      <c r="T229" s="3">
        <f t="shared" si="56"/>
        <v>0</v>
      </c>
      <c r="U229" s="3">
        <f t="shared" si="56"/>
        <v>0</v>
      </c>
      <c r="V229" s="3">
        <f t="shared" si="63"/>
        <v>0</v>
      </c>
      <c r="W229" s="3">
        <f t="shared" si="64"/>
        <v>0</v>
      </c>
      <c r="X229" s="3">
        <f t="shared" si="65"/>
        <v>0</v>
      </c>
      <c r="Y229" s="3">
        <f t="shared" si="57"/>
        <v>0</v>
      </c>
      <c r="Z229" s="3">
        <f t="shared" si="58"/>
        <v>0</v>
      </c>
      <c r="AA229" s="3">
        <f t="shared" si="59"/>
        <v>0</v>
      </c>
    </row>
    <row r="230" spans="1:27" x14ac:dyDescent="0.25">
      <c r="A230" s="3">
        <f t="shared" si="54"/>
        <v>1</v>
      </c>
      <c r="B230" s="113">
        <f t="shared" si="60"/>
        <v>1.5400000000000011</v>
      </c>
      <c r="C230" s="117">
        <f t="shared" si="67"/>
        <v>2.563760000000002</v>
      </c>
      <c r="D230" s="117">
        <f t="shared" si="69"/>
        <v>1.5660000000000034</v>
      </c>
      <c r="E230" s="117">
        <f t="shared" si="48"/>
        <v>3.6456200000000005</v>
      </c>
      <c r="F230" s="117">
        <f t="shared" si="66"/>
        <v>3.6606200000000007</v>
      </c>
      <c r="G230" s="117">
        <f t="shared" si="68"/>
        <v>2.563760000000002</v>
      </c>
      <c r="H230" s="117">
        <f t="shared" si="46"/>
        <v>3.1129999999999995</v>
      </c>
      <c r="I230" s="116">
        <f>IF($B$7=constants!$C$60,G230,IF($B$8=constants!$C$60,C230,E230))</f>
        <v>2.563760000000002</v>
      </c>
      <c r="J230" s="116">
        <f>IF($B$7=constants!$C$60,H230,IF($B$8=constants!$C$60,D230,F230))</f>
        <v>1.5660000000000034</v>
      </c>
      <c r="K230" s="121">
        <f t="shared" si="61"/>
        <v>1</v>
      </c>
      <c r="L230" s="10">
        <f t="shared" si="42"/>
        <v>2.563760000000002</v>
      </c>
      <c r="M230" s="126">
        <f t="shared" si="49"/>
        <v>2.4</v>
      </c>
      <c r="N230" s="126">
        <f t="shared" si="50"/>
        <v>2.4</v>
      </c>
      <c r="O230" s="126">
        <f>IF(OR($B$22=constants!$B$60,AND(I230&gt;$B$12,$B$12&lt;&gt;-1)),O229+(N230-O229)*$O$74,O229+(L230-O229)*$O$74)</f>
        <v>2.4</v>
      </c>
      <c r="P230" s="126">
        <f t="shared" si="55"/>
        <v>2.38</v>
      </c>
      <c r="Q230" s="123">
        <f t="shared" si="43"/>
        <v>2</v>
      </c>
      <c r="R230" s="123">
        <f t="shared" si="62"/>
        <v>2</v>
      </c>
      <c r="S230" s="3">
        <f t="shared" si="56"/>
        <v>0</v>
      </c>
      <c r="T230" s="3">
        <f t="shared" si="56"/>
        <v>0</v>
      </c>
      <c r="U230" s="3">
        <f t="shared" si="56"/>
        <v>0</v>
      </c>
      <c r="V230" s="3">
        <f t="shared" si="63"/>
        <v>0</v>
      </c>
      <c r="W230" s="3">
        <f t="shared" si="64"/>
        <v>0</v>
      </c>
      <c r="X230" s="3">
        <f t="shared" si="65"/>
        <v>0</v>
      </c>
      <c r="Y230" s="3">
        <f t="shared" si="57"/>
        <v>0</v>
      </c>
      <c r="Z230" s="3">
        <f t="shared" si="58"/>
        <v>0</v>
      </c>
      <c r="AA230" s="3">
        <f t="shared" si="59"/>
        <v>0</v>
      </c>
    </row>
    <row r="231" spans="1:27" x14ac:dyDescent="0.25">
      <c r="A231" s="3">
        <f t="shared" si="54"/>
        <v>1</v>
      </c>
      <c r="B231" s="113">
        <f t="shared" si="60"/>
        <v>1.5500000000000012</v>
      </c>
      <c r="C231" s="117">
        <f t="shared" si="67"/>
        <v>2.5842000000000023</v>
      </c>
      <c r="D231" s="117">
        <f t="shared" si="69"/>
        <v>1.5660000000000034</v>
      </c>
      <c r="E231" s="117">
        <f t="shared" si="48"/>
        <v>3.6536500000000007</v>
      </c>
      <c r="F231" s="117">
        <f t="shared" si="66"/>
        <v>3.6686500000000009</v>
      </c>
      <c r="G231" s="117">
        <f t="shared" si="68"/>
        <v>2.5842000000000023</v>
      </c>
      <c r="H231" s="117">
        <f t="shared" si="46"/>
        <v>3.1129999999999995</v>
      </c>
      <c r="I231" s="116">
        <f>IF($B$7=constants!$C$60,G231,IF($B$8=constants!$C$60,C231,E231))</f>
        <v>2.5842000000000023</v>
      </c>
      <c r="J231" s="116">
        <f>IF($B$7=constants!$C$60,H231,IF($B$8=constants!$C$60,D231,F231))</f>
        <v>1.5660000000000034</v>
      </c>
      <c r="K231" s="121">
        <f t="shared" si="61"/>
        <v>1</v>
      </c>
      <c r="L231" s="10">
        <f t="shared" si="42"/>
        <v>2.5842000000000023</v>
      </c>
      <c r="M231" s="126">
        <f t="shared" si="49"/>
        <v>2.4</v>
      </c>
      <c r="N231" s="126">
        <f t="shared" si="50"/>
        <v>2.4</v>
      </c>
      <c r="O231" s="126">
        <f>IF(OR($B$22=constants!$B$60,AND(I231&gt;$B$12,$B$12&lt;&gt;-1)),O230+(N231-O230)*$O$74,O230+(L231-O230)*$O$74)</f>
        <v>2.4</v>
      </c>
      <c r="P231" s="126">
        <f t="shared" si="55"/>
        <v>2.38</v>
      </c>
      <c r="Q231" s="123">
        <f t="shared" si="43"/>
        <v>2</v>
      </c>
      <c r="R231" s="123">
        <f t="shared" si="62"/>
        <v>2</v>
      </c>
      <c r="S231" s="3">
        <f t="shared" si="56"/>
        <v>0</v>
      </c>
      <c r="T231" s="3">
        <f t="shared" si="56"/>
        <v>0</v>
      </c>
      <c r="U231" s="3">
        <f t="shared" si="56"/>
        <v>0</v>
      </c>
      <c r="V231" s="3">
        <f t="shared" si="63"/>
        <v>0</v>
      </c>
      <c r="W231" s="3">
        <f t="shared" si="64"/>
        <v>0</v>
      </c>
      <c r="X231" s="3">
        <f t="shared" si="65"/>
        <v>0</v>
      </c>
      <c r="Y231" s="3">
        <f t="shared" si="57"/>
        <v>0</v>
      </c>
      <c r="Z231" s="3">
        <f t="shared" si="58"/>
        <v>0</v>
      </c>
      <c r="AA231" s="3">
        <f t="shared" si="59"/>
        <v>0</v>
      </c>
    </row>
    <row r="232" spans="1:27" x14ac:dyDescent="0.25">
      <c r="A232" s="3">
        <f t="shared" si="54"/>
        <v>1</v>
      </c>
      <c r="B232" s="113">
        <f t="shared" si="60"/>
        <v>1.5600000000000012</v>
      </c>
      <c r="C232" s="117">
        <f t="shared" si="67"/>
        <v>2.6046400000000021</v>
      </c>
      <c r="D232" s="117">
        <f t="shared" si="69"/>
        <v>1.5660000000000034</v>
      </c>
      <c r="E232" s="117">
        <f t="shared" si="48"/>
        <v>3.6616800000000005</v>
      </c>
      <c r="F232" s="117">
        <f t="shared" si="66"/>
        <v>3.6766800000000006</v>
      </c>
      <c r="G232" s="117">
        <f t="shared" si="68"/>
        <v>2.6046400000000021</v>
      </c>
      <c r="H232" s="117">
        <f t="shared" si="46"/>
        <v>3.1129999999999995</v>
      </c>
      <c r="I232" s="116">
        <f>IF($B$7=constants!$C$60,G232,IF($B$8=constants!$C$60,C232,E232))</f>
        <v>2.6046400000000021</v>
      </c>
      <c r="J232" s="116">
        <f>IF($B$7=constants!$C$60,H232,IF($B$8=constants!$C$60,D232,F232))</f>
        <v>1.5660000000000034</v>
      </c>
      <c r="K232" s="121">
        <f t="shared" si="61"/>
        <v>1</v>
      </c>
      <c r="L232" s="10">
        <f t="shared" si="42"/>
        <v>2.6046400000000021</v>
      </c>
      <c r="M232" s="126">
        <f t="shared" si="49"/>
        <v>2.4</v>
      </c>
      <c r="N232" s="126">
        <f t="shared" si="50"/>
        <v>2.4</v>
      </c>
      <c r="O232" s="126">
        <f>IF(OR($B$22=constants!$B$60,AND(I232&gt;$B$12,$B$12&lt;&gt;-1)),O231+(N232-O231)*$O$74,O231+(L232-O231)*$O$74)</f>
        <v>2.4</v>
      </c>
      <c r="P232" s="126">
        <f t="shared" si="55"/>
        <v>2.38</v>
      </c>
      <c r="Q232" s="123">
        <f t="shared" si="43"/>
        <v>2</v>
      </c>
      <c r="R232" s="123">
        <f t="shared" si="62"/>
        <v>2</v>
      </c>
      <c r="S232" s="3">
        <f t="shared" si="56"/>
        <v>0</v>
      </c>
      <c r="T232" s="3">
        <f t="shared" si="56"/>
        <v>0</v>
      </c>
      <c r="U232" s="3">
        <f t="shared" si="56"/>
        <v>0</v>
      </c>
      <c r="V232" s="3">
        <f t="shared" si="63"/>
        <v>0</v>
      </c>
      <c r="W232" s="3">
        <f t="shared" si="64"/>
        <v>0</v>
      </c>
      <c r="X232" s="3">
        <f t="shared" si="65"/>
        <v>0</v>
      </c>
      <c r="Y232" s="3">
        <f t="shared" si="57"/>
        <v>0</v>
      </c>
      <c r="Z232" s="3">
        <f t="shared" si="58"/>
        <v>0</v>
      </c>
      <c r="AA232" s="3">
        <f t="shared" si="59"/>
        <v>0</v>
      </c>
    </row>
    <row r="233" spans="1:27" x14ac:dyDescent="0.25">
      <c r="A233" s="3">
        <f t="shared" si="54"/>
        <v>1</v>
      </c>
      <c r="B233" s="113">
        <f t="shared" si="60"/>
        <v>1.5700000000000012</v>
      </c>
      <c r="C233" s="117">
        <f t="shared" si="67"/>
        <v>2.6250800000000023</v>
      </c>
      <c r="D233" s="117">
        <f t="shared" si="69"/>
        <v>1.5660000000000034</v>
      </c>
      <c r="E233" s="117">
        <f t="shared" si="48"/>
        <v>3.6697100000000007</v>
      </c>
      <c r="F233" s="117">
        <f t="shared" si="66"/>
        <v>3.6847100000000008</v>
      </c>
      <c r="G233" s="117">
        <f t="shared" si="68"/>
        <v>2.6250800000000023</v>
      </c>
      <c r="H233" s="117">
        <f t="shared" si="46"/>
        <v>3.1129999999999995</v>
      </c>
      <c r="I233" s="116">
        <f>IF($B$7=constants!$C$60,G233,IF($B$8=constants!$C$60,C233,E233))</f>
        <v>2.6250800000000023</v>
      </c>
      <c r="J233" s="116">
        <f>IF($B$7=constants!$C$60,H233,IF($B$8=constants!$C$60,D233,F233))</f>
        <v>1.5660000000000034</v>
      </c>
      <c r="K233" s="121">
        <f t="shared" si="61"/>
        <v>1</v>
      </c>
      <c r="L233" s="10">
        <f t="shared" si="42"/>
        <v>2.6250800000000023</v>
      </c>
      <c r="M233" s="126">
        <f t="shared" si="49"/>
        <v>2.4</v>
      </c>
      <c r="N233" s="126">
        <f t="shared" si="50"/>
        <v>2.4</v>
      </c>
      <c r="O233" s="126">
        <f>IF(OR($B$22=constants!$B$60,AND(I233&gt;$B$12,$B$12&lt;&gt;-1)),O232+(N233-O232)*$O$74,O232+(L233-O232)*$O$74)</f>
        <v>2.4</v>
      </c>
      <c r="P233" s="126">
        <f t="shared" si="55"/>
        <v>2.38</v>
      </c>
      <c r="Q233" s="123">
        <f t="shared" si="43"/>
        <v>2</v>
      </c>
      <c r="R233" s="123">
        <f t="shared" si="62"/>
        <v>2</v>
      </c>
      <c r="S233" s="3">
        <f t="shared" si="56"/>
        <v>0</v>
      </c>
      <c r="T233" s="3">
        <f t="shared" si="56"/>
        <v>0</v>
      </c>
      <c r="U233" s="3">
        <f t="shared" si="56"/>
        <v>0</v>
      </c>
      <c r="V233" s="3">
        <f t="shared" si="63"/>
        <v>0</v>
      </c>
      <c r="W233" s="3">
        <f t="shared" si="64"/>
        <v>0</v>
      </c>
      <c r="X233" s="3">
        <f t="shared" si="65"/>
        <v>0</v>
      </c>
      <c r="Y233" s="3">
        <f t="shared" si="57"/>
        <v>0</v>
      </c>
      <c r="Z233" s="3">
        <f t="shared" si="58"/>
        <v>0</v>
      </c>
      <c r="AA233" s="3">
        <f t="shared" si="59"/>
        <v>0</v>
      </c>
    </row>
    <row r="234" spans="1:27" x14ac:dyDescent="0.25">
      <c r="A234" s="3">
        <f t="shared" si="54"/>
        <v>1</v>
      </c>
      <c r="B234" s="113">
        <f t="shared" si="60"/>
        <v>1.5800000000000012</v>
      </c>
      <c r="C234" s="117">
        <f t="shared" si="67"/>
        <v>2.6455200000000021</v>
      </c>
      <c r="D234" s="117">
        <f t="shared" si="69"/>
        <v>1.5660000000000034</v>
      </c>
      <c r="E234" s="117">
        <f t="shared" si="48"/>
        <v>3.6777400000000009</v>
      </c>
      <c r="F234" s="117">
        <f t="shared" si="66"/>
        <v>3.692740000000001</v>
      </c>
      <c r="G234" s="117">
        <f t="shared" si="68"/>
        <v>2.6455200000000021</v>
      </c>
      <c r="H234" s="117">
        <f t="shared" si="46"/>
        <v>3.1129999999999995</v>
      </c>
      <c r="I234" s="116">
        <f>IF($B$7=constants!$C$60,G234,IF($B$8=constants!$C$60,C234,E234))</f>
        <v>2.6455200000000021</v>
      </c>
      <c r="J234" s="116">
        <f>IF($B$7=constants!$C$60,H234,IF($B$8=constants!$C$60,D234,F234))</f>
        <v>1.5660000000000034</v>
      </c>
      <c r="K234" s="121">
        <f t="shared" si="61"/>
        <v>1</v>
      </c>
      <c r="L234" s="10">
        <f t="shared" si="42"/>
        <v>2.6455200000000021</v>
      </c>
      <c r="M234" s="126">
        <f t="shared" si="49"/>
        <v>2.4</v>
      </c>
      <c r="N234" s="126">
        <f t="shared" si="50"/>
        <v>2.4</v>
      </c>
      <c r="O234" s="126">
        <f>IF(OR($B$22=constants!$B$60,AND(I234&gt;$B$12,$B$12&lt;&gt;-1)),O233+(N234-O233)*$O$74,O233+(L234-O233)*$O$74)</f>
        <v>2.4</v>
      </c>
      <c r="P234" s="126">
        <f t="shared" si="55"/>
        <v>2.38</v>
      </c>
      <c r="Q234" s="123">
        <f t="shared" si="43"/>
        <v>2</v>
      </c>
      <c r="R234" s="123">
        <f t="shared" si="62"/>
        <v>2</v>
      </c>
      <c r="S234" s="3">
        <f t="shared" si="56"/>
        <v>0</v>
      </c>
      <c r="T234" s="3">
        <f t="shared" si="56"/>
        <v>0</v>
      </c>
      <c r="U234" s="3">
        <f t="shared" si="56"/>
        <v>0</v>
      </c>
      <c r="V234" s="3">
        <f t="shared" si="63"/>
        <v>0</v>
      </c>
      <c r="W234" s="3">
        <f t="shared" si="64"/>
        <v>0</v>
      </c>
      <c r="X234" s="3">
        <f t="shared" si="65"/>
        <v>0</v>
      </c>
      <c r="Y234" s="3">
        <f t="shared" si="57"/>
        <v>0</v>
      </c>
      <c r="Z234" s="3">
        <f t="shared" si="58"/>
        <v>0</v>
      </c>
      <c r="AA234" s="3">
        <f t="shared" si="59"/>
        <v>0</v>
      </c>
    </row>
    <row r="235" spans="1:27" x14ac:dyDescent="0.25">
      <c r="A235" s="3">
        <f t="shared" si="54"/>
        <v>1</v>
      </c>
      <c r="B235" s="113">
        <f t="shared" si="60"/>
        <v>1.5900000000000012</v>
      </c>
      <c r="C235" s="117">
        <f t="shared" si="67"/>
        <v>2.6659600000000023</v>
      </c>
      <c r="D235" s="117">
        <f t="shared" si="69"/>
        <v>1.5660000000000034</v>
      </c>
      <c r="E235" s="117">
        <f t="shared" si="48"/>
        <v>3.6857700000000007</v>
      </c>
      <c r="F235" s="117">
        <f t="shared" si="66"/>
        <v>3.7007700000000008</v>
      </c>
      <c r="G235" s="117">
        <f t="shared" si="68"/>
        <v>2.6659600000000023</v>
      </c>
      <c r="H235" s="117">
        <f t="shared" si="46"/>
        <v>3.1129999999999995</v>
      </c>
      <c r="I235" s="116">
        <f>IF($B$7=constants!$C$60,G235,IF($B$8=constants!$C$60,C235,E235))</f>
        <v>2.6659600000000023</v>
      </c>
      <c r="J235" s="116">
        <f>IF($B$7=constants!$C$60,H235,IF($B$8=constants!$C$60,D235,F235))</f>
        <v>1.5660000000000034</v>
      </c>
      <c r="K235" s="121">
        <f t="shared" si="61"/>
        <v>1</v>
      </c>
      <c r="L235" s="10">
        <f t="shared" si="42"/>
        <v>2.6659600000000023</v>
      </c>
      <c r="M235" s="126">
        <f t="shared" si="49"/>
        <v>2.4</v>
      </c>
      <c r="N235" s="126">
        <f t="shared" si="50"/>
        <v>2.4</v>
      </c>
      <c r="O235" s="126">
        <f>IF(OR($B$22=constants!$B$60,AND(I235&gt;$B$12,$B$12&lt;&gt;-1)),O234+(N235-O234)*$O$74,O234+(L235-O234)*$O$74)</f>
        <v>2.4</v>
      </c>
      <c r="P235" s="126">
        <f t="shared" si="55"/>
        <v>2.38</v>
      </c>
      <c r="Q235" s="123">
        <f t="shared" si="43"/>
        <v>2</v>
      </c>
      <c r="R235" s="123">
        <f t="shared" si="62"/>
        <v>2</v>
      </c>
      <c r="S235" s="3">
        <f t="shared" si="56"/>
        <v>0</v>
      </c>
      <c r="T235" s="3">
        <f t="shared" si="56"/>
        <v>0</v>
      </c>
      <c r="U235" s="3">
        <f t="shared" si="56"/>
        <v>0</v>
      </c>
      <c r="V235" s="3">
        <f t="shared" si="63"/>
        <v>0</v>
      </c>
      <c r="W235" s="3">
        <f t="shared" si="64"/>
        <v>0</v>
      </c>
      <c r="X235" s="3">
        <f t="shared" si="65"/>
        <v>0</v>
      </c>
      <c r="Y235" s="3">
        <f t="shared" si="57"/>
        <v>0</v>
      </c>
      <c r="Z235" s="3">
        <f t="shared" si="58"/>
        <v>0</v>
      </c>
      <c r="AA235" s="3">
        <f t="shared" si="59"/>
        <v>0</v>
      </c>
    </row>
    <row r="236" spans="1:27" x14ac:dyDescent="0.25">
      <c r="A236" s="3">
        <f t="shared" si="54"/>
        <v>1</v>
      </c>
      <c r="B236" s="113">
        <f t="shared" si="60"/>
        <v>1.6000000000000012</v>
      </c>
      <c r="C236" s="117">
        <f t="shared" si="67"/>
        <v>2.6864000000000021</v>
      </c>
      <c r="D236" s="117">
        <f t="shared" si="69"/>
        <v>1.5660000000000034</v>
      </c>
      <c r="E236" s="117">
        <f t="shared" si="48"/>
        <v>3.6938000000000004</v>
      </c>
      <c r="F236" s="117">
        <f t="shared" si="66"/>
        <v>3.7088000000000005</v>
      </c>
      <c r="G236" s="117">
        <f t="shared" si="68"/>
        <v>2.6864000000000021</v>
      </c>
      <c r="H236" s="117">
        <f t="shared" si="46"/>
        <v>3.1129999999999995</v>
      </c>
      <c r="I236" s="116">
        <f>IF($B$7=constants!$C$60,G236,IF($B$8=constants!$C$60,C236,E236))</f>
        <v>2.6864000000000021</v>
      </c>
      <c r="J236" s="116">
        <f>IF($B$7=constants!$C$60,H236,IF($B$8=constants!$C$60,D236,F236))</f>
        <v>1.5660000000000034</v>
      </c>
      <c r="K236" s="121">
        <f t="shared" si="61"/>
        <v>1</v>
      </c>
      <c r="L236" s="10">
        <f t="shared" si="42"/>
        <v>2.6864000000000021</v>
      </c>
      <c r="M236" s="126">
        <f t="shared" si="49"/>
        <v>2.4</v>
      </c>
      <c r="N236" s="126">
        <f t="shared" si="50"/>
        <v>2.4</v>
      </c>
      <c r="O236" s="126">
        <f>IF(OR($B$22=constants!$B$60,AND(I236&gt;$B$12,$B$12&lt;&gt;-1)),O235+(N236-O235)*$O$74,O235+(L236-O235)*$O$74)</f>
        <v>2.4</v>
      </c>
      <c r="P236" s="126">
        <f t="shared" si="55"/>
        <v>2.38</v>
      </c>
      <c r="Q236" s="123">
        <f t="shared" si="43"/>
        <v>2</v>
      </c>
      <c r="R236" s="123">
        <f t="shared" si="62"/>
        <v>2</v>
      </c>
      <c r="S236" s="3">
        <f t="shared" si="56"/>
        <v>0</v>
      </c>
      <c r="T236" s="3">
        <f t="shared" si="56"/>
        <v>0</v>
      </c>
      <c r="U236" s="3">
        <f t="shared" si="56"/>
        <v>0</v>
      </c>
      <c r="V236" s="3">
        <f t="shared" si="63"/>
        <v>0</v>
      </c>
      <c r="W236" s="3">
        <f t="shared" si="64"/>
        <v>0</v>
      </c>
      <c r="X236" s="3">
        <f t="shared" si="65"/>
        <v>0</v>
      </c>
      <c r="Y236" s="3">
        <f t="shared" si="57"/>
        <v>0</v>
      </c>
      <c r="Z236" s="3">
        <f t="shared" si="58"/>
        <v>0</v>
      </c>
      <c r="AA236" s="3">
        <f t="shared" si="59"/>
        <v>0</v>
      </c>
    </row>
    <row r="237" spans="1:27" x14ac:dyDescent="0.25">
      <c r="A237" s="3">
        <f t="shared" si="54"/>
        <v>1</v>
      </c>
      <c r="B237" s="113">
        <f t="shared" si="60"/>
        <v>1.6100000000000012</v>
      </c>
      <c r="C237" s="117">
        <f t="shared" si="67"/>
        <v>2.7068400000000024</v>
      </c>
      <c r="D237" s="117">
        <f t="shared" si="69"/>
        <v>1.5660000000000034</v>
      </c>
      <c r="E237" s="117">
        <f t="shared" si="48"/>
        <v>3.7018300000000006</v>
      </c>
      <c r="F237" s="117">
        <f t="shared" si="66"/>
        <v>3.7168300000000007</v>
      </c>
      <c r="G237" s="117">
        <f t="shared" si="68"/>
        <v>2.7068400000000024</v>
      </c>
      <c r="H237" s="117">
        <f t="shared" si="46"/>
        <v>3.1129999999999995</v>
      </c>
      <c r="I237" s="116">
        <f>IF($B$7=constants!$C$60,G237,IF($B$8=constants!$C$60,C237,E237))</f>
        <v>2.7068400000000024</v>
      </c>
      <c r="J237" s="116">
        <f>IF($B$7=constants!$C$60,H237,IF($B$8=constants!$C$60,D237,F237))</f>
        <v>1.5660000000000034</v>
      </c>
      <c r="K237" s="121">
        <f t="shared" si="61"/>
        <v>1</v>
      </c>
      <c r="L237" s="10">
        <f t="shared" si="42"/>
        <v>2.7068400000000024</v>
      </c>
      <c r="M237" s="126">
        <f t="shared" si="49"/>
        <v>2.4</v>
      </c>
      <c r="N237" s="126">
        <f t="shared" si="50"/>
        <v>2.4</v>
      </c>
      <c r="O237" s="126">
        <f>IF(OR($B$22=constants!$B$60,AND(I237&gt;$B$12,$B$12&lt;&gt;-1)),O236+(N237-O236)*$O$74,O236+(L237-O236)*$O$74)</f>
        <v>2.4</v>
      </c>
      <c r="P237" s="126">
        <f t="shared" si="55"/>
        <v>2.38</v>
      </c>
      <c r="Q237" s="123">
        <f t="shared" si="43"/>
        <v>2</v>
      </c>
      <c r="R237" s="123">
        <f t="shared" si="62"/>
        <v>2</v>
      </c>
      <c r="S237" s="3">
        <f t="shared" ref="S237:U268" si="70">S$72*IF(S$71=0,$L237,IF(S$71=1,$R237,IF($B$12=-1,$L237,IF($I237&gt;$B$12,$R237,$L237))))</f>
        <v>0</v>
      </c>
      <c r="T237" s="3">
        <f t="shared" si="70"/>
        <v>0</v>
      </c>
      <c r="U237" s="3">
        <f t="shared" si="70"/>
        <v>0</v>
      </c>
      <c r="V237" s="3">
        <f t="shared" si="63"/>
        <v>0</v>
      </c>
      <c r="W237" s="3">
        <f t="shared" si="64"/>
        <v>0</v>
      </c>
      <c r="X237" s="3">
        <f t="shared" si="65"/>
        <v>0</v>
      </c>
      <c r="Y237" s="3">
        <f t="shared" si="57"/>
        <v>0</v>
      </c>
      <c r="Z237" s="3">
        <f t="shared" si="58"/>
        <v>0</v>
      </c>
      <c r="AA237" s="3">
        <f t="shared" si="59"/>
        <v>0</v>
      </c>
    </row>
    <row r="238" spans="1:27" x14ac:dyDescent="0.25">
      <c r="A238" s="3">
        <f t="shared" si="54"/>
        <v>1</v>
      </c>
      <c r="B238" s="113">
        <f t="shared" si="60"/>
        <v>1.6200000000000012</v>
      </c>
      <c r="C238" s="117">
        <f t="shared" si="67"/>
        <v>2.7272800000000021</v>
      </c>
      <c r="D238" s="117">
        <f t="shared" si="69"/>
        <v>1.5660000000000034</v>
      </c>
      <c r="E238" s="117">
        <f t="shared" si="48"/>
        <v>3.7098600000000008</v>
      </c>
      <c r="F238" s="117">
        <f t="shared" si="66"/>
        <v>3.7248600000000009</v>
      </c>
      <c r="G238" s="117">
        <f t="shared" si="68"/>
        <v>2.7272800000000021</v>
      </c>
      <c r="H238" s="117">
        <f t="shared" si="46"/>
        <v>3.1129999999999995</v>
      </c>
      <c r="I238" s="116">
        <f>IF($B$7=constants!$C$60,G238,IF($B$8=constants!$C$60,C238,E238))</f>
        <v>2.7272800000000021</v>
      </c>
      <c r="J238" s="116">
        <f>IF($B$7=constants!$C$60,H238,IF($B$8=constants!$C$60,D238,F238))</f>
        <v>1.5660000000000034</v>
      </c>
      <c r="K238" s="121">
        <f t="shared" si="61"/>
        <v>1</v>
      </c>
      <c r="L238" s="10">
        <f t="shared" si="42"/>
        <v>2.7272800000000021</v>
      </c>
      <c r="M238" s="126">
        <f t="shared" si="49"/>
        <v>2.4</v>
      </c>
      <c r="N238" s="126">
        <f t="shared" si="50"/>
        <v>2.4</v>
      </c>
      <c r="O238" s="126">
        <f>IF(OR($B$22=constants!$B$60,AND(I238&gt;$B$12,$B$12&lt;&gt;-1)),O237+(N238-O237)*$O$74,O237+(L238-O237)*$O$74)</f>
        <v>2.4</v>
      </c>
      <c r="P238" s="126">
        <f t="shared" si="55"/>
        <v>2.38</v>
      </c>
      <c r="Q238" s="123">
        <f t="shared" si="43"/>
        <v>2</v>
      </c>
      <c r="R238" s="123">
        <f t="shared" si="62"/>
        <v>2</v>
      </c>
      <c r="S238" s="3">
        <f t="shared" si="70"/>
        <v>0</v>
      </c>
      <c r="T238" s="3">
        <f t="shared" si="70"/>
        <v>0</v>
      </c>
      <c r="U238" s="3">
        <f t="shared" si="70"/>
        <v>0</v>
      </c>
      <c r="V238" s="3">
        <f t="shared" si="63"/>
        <v>0</v>
      </c>
      <c r="W238" s="3">
        <f t="shared" si="64"/>
        <v>0</v>
      </c>
      <c r="X238" s="3">
        <f t="shared" si="65"/>
        <v>0</v>
      </c>
      <c r="Y238" s="3">
        <f t="shared" si="57"/>
        <v>0</v>
      </c>
      <c r="Z238" s="3">
        <f t="shared" si="58"/>
        <v>0</v>
      </c>
      <c r="AA238" s="3">
        <f t="shared" si="59"/>
        <v>0</v>
      </c>
    </row>
    <row r="239" spans="1:27" x14ac:dyDescent="0.25">
      <c r="A239" s="3">
        <f t="shared" si="54"/>
        <v>1</v>
      </c>
      <c r="B239" s="113">
        <f t="shared" si="60"/>
        <v>1.6300000000000012</v>
      </c>
      <c r="C239" s="117">
        <f t="shared" si="67"/>
        <v>2.7477200000000024</v>
      </c>
      <c r="D239" s="117">
        <f t="shared" si="69"/>
        <v>1.5660000000000034</v>
      </c>
      <c r="E239" s="117">
        <f t="shared" si="48"/>
        <v>3.7178900000000006</v>
      </c>
      <c r="F239" s="117">
        <f t="shared" si="66"/>
        <v>3.7328900000000007</v>
      </c>
      <c r="G239" s="117">
        <f t="shared" si="68"/>
        <v>2.7477200000000024</v>
      </c>
      <c r="H239" s="117">
        <f t="shared" si="46"/>
        <v>3.1129999999999995</v>
      </c>
      <c r="I239" s="116">
        <f>IF($B$7=constants!$C$60,G239,IF($B$8=constants!$C$60,C239,E239))</f>
        <v>2.7477200000000024</v>
      </c>
      <c r="J239" s="116">
        <f>IF($B$7=constants!$C$60,H239,IF($B$8=constants!$C$60,D239,F239))</f>
        <v>1.5660000000000034</v>
      </c>
      <c r="K239" s="121">
        <f t="shared" si="61"/>
        <v>1</v>
      </c>
      <c r="L239" s="10">
        <f t="shared" si="42"/>
        <v>2.7477200000000024</v>
      </c>
      <c r="M239" s="126">
        <f t="shared" si="49"/>
        <v>2.4</v>
      </c>
      <c r="N239" s="126">
        <f t="shared" si="50"/>
        <v>2.4</v>
      </c>
      <c r="O239" s="126">
        <f>IF(OR($B$22=constants!$B$60,AND(I239&gt;$B$12,$B$12&lt;&gt;-1)),O238+(N239-O238)*$O$74,O238+(L239-O238)*$O$74)</f>
        <v>2.4</v>
      </c>
      <c r="P239" s="126">
        <f t="shared" si="55"/>
        <v>2.38</v>
      </c>
      <c r="Q239" s="123">
        <f t="shared" si="43"/>
        <v>2</v>
      </c>
      <c r="R239" s="123">
        <f t="shared" si="62"/>
        <v>2</v>
      </c>
      <c r="S239" s="3">
        <f t="shared" si="70"/>
        <v>0</v>
      </c>
      <c r="T239" s="3">
        <f t="shared" si="70"/>
        <v>0</v>
      </c>
      <c r="U239" s="3">
        <f t="shared" si="70"/>
        <v>0</v>
      </c>
      <c r="V239" s="3">
        <f t="shared" si="63"/>
        <v>0</v>
      </c>
      <c r="W239" s="3">
        <f t="shared" si="64"/>
        <v>0</v>
      </c>
      <c r="X239" s="3">
        <f t="shared" si="65"/>
        <v>0</v>
      </c>
      <c r="Y239" s="3">
        <f t="shared" si="57"/>
        <v>0</v>
      </c>
      <c r="Z239" s="3">
        <f t="shared" si="58"/>
        <v>0</v>
      </c>
      <c r="AA239" s="3">
        <f t="shared" si="59"/>
        <v>0</v>
      </c>
    </row>
    <row r="240" spans="1:27" x14ac:dyDescent="0.25">
      <c r="A240" s="3">
        <f t="shared" si="54"/>
        <v>1</v>
      </c>
      <c r="B240" s="113">
        <f t="shared" si="60"/>
        <v>1.6400000000000012</v>
      </c>
      <c r="C240" s="117">
        <f t="shared" si="67"/>
        <v>2.7681600000000022</v>
      </c>
      <c r="D240" s="117">
        <f t="shared" si="69"/>
        <v>1.5660000000000034</v>
      </c>
      <c r="E240" s="117">
        <f t="shared" si="48"/>
        <v>3.7259200000000008</v>
      </c>
      <c r="F240" s="117">
        <f t="shared" si="66"/>
        <v>3.7409200000000009</v>
      </c>
      <c r="G240" s="117">
        <f t="shared" si="68"/>
        <v>2.7681600000000022</v>
      </c>
      <c r="H240" s="117">
        <f t="shared" si="46"/>
        <v>3.1129999999999995</v>
      </c>
      <c r="I240" s="116">
        <f>IF($B$7=constants!$C$60,G240,IF($B$8=constants!$C$60,C240,E240))</f>
        <v>2.7681600000000022</v>
      </c>
      <c r="J240" s="116">
        <f>IF($B$7=constants!$C$60,H240,IF($B$8=constants!$C$60,D240,F240))</f>
        <v>1.5660000000000034</v>
      </c>
      <c r="K240" s="121">
        <f t="shared" si="61"/>
        <v>1</v>
      </c>
      <c r="L240" s="10">
        <f t="shared" ref="L240:L303" si="71">IF($K240=0,IF($I240&gt;$B$16,L239+($I240-L239)*L$74-J$72,L239-L239/L$74),IF($I240&gt;$B$17,L239+($I240-L239)*L$74-J$72,L239-L239/L$74))</f>
        <v>2.7681600000000022</v>
      </c>
      <c r="M240" s="126">
        <f t="shared" si="49"/>
        <v>2.4</v>
      </c>
      <c r="N240" s="126">
        <f t="shared" si="50"/>
        <v>2.4</v>
      </c>
      <c r="O240" s="126">
        <f>IF(OR($B$22=constants!$B$60,AND(I240&gt;$B$12,$B$12&lt;&gt;-1)),O239+(N240-O239)*$O$74,O239+(L240-O239)*$O$74)</f>
        <v>2.4</v>
      </c>
      <c r="P240" s="126">
        <f t="shared" si="55"/>
        <v>2.38</v>
      </c>
      <c r="Q240" s="123">
        <f t="shared" ref="Q240:Q303" si="72">IF($K240=0,IF($I240&gt;$B$16,R239+($B$21-R239)*R$74-R$72,R239-R239/R$74),IF($I240&gt;$B$17,R239+($B$21-R239)*R$74-R$72,R239-R239/R$74))</f>
        <v>2</v>
      </c>
      <c r="R240" s="123">
        <f t="shared" si="62"/>
        <v>2</v>
      </c>
      <c r="S240" s="3">
        <f t="shared" si="70"/>
        <v>0</v>
      </c>
      <c r="T240" s="3">
        <f t="shared" si="70"/>
        <v>0</v>
      </c>
      <c r="U240" s="3">
        <f t="shared" si="70"/>
        <v>0</v>
      </c>
      <c r="V240" s="3">
        <f t="shared" si="63"/>
        <v>0</v>
      </c>
      <c r="W240" s="3">
        <f t="shared" si="64"/>
        <v>0</v>
      </c>
      <c r="X240" s="3">
        <f t="shared" si="65"/>
        <v>0</v>
      </c>
      <c r="Y240" s="3">
        <f t="shared" si="57"/>
        <v>0</v>
      </c>
      <c r="Z240" s="3">
        <f t="shared" si="58"/>
        <v>0</v>
      </c>
      <c r="AA240" s="3">
        <f t="shared" si="59"/>
        <v>0</v>
      </c>
    </row>
    <row r="241" spans="1:27" x14ac:dyDescent="0.25">
      <c r="A241" s="3">
        <f t="shared" si="54"/>
        <v>1</v>
      </c>
      <c r="B241" s="113">
        <f t="shared" si="60"/>
        <v>1.6500000000000012</v>
      </c>
      <c r="C241" s="117">
        <f t="shared" si="67"/>
        <v>2.7886000000000024</v>
      </c>
      <c r="D241" s="117">
        <f t="shared" si="69"/>
        <v>1.5660000000000034</v>
      </c>
      <c r="E241" s="117">
        <f t="shared" si="48"/>
        <v>3.733950000000001</v>
      </c>
      <c r="F241" s="117">
        <f t="shared" ref="F241:F272" si="73">E241+$F$74</f>
        <v>3.7489500000000011</v>
      </c>
      <c r="G241" s="117">
        <f t="shared" si="68"/>
        <v>2.7886000000000024</v>
      </c>
      <c r="H241" s="117">
        <f t="shared" ref="H241:H275" si="74">H240</f>
        <v>3.1129999999999995</v>
      </c>
      <c r="I241" s="116">
        <f>IF($B$7=constants!$C$60,G241,IF($B$8=constants!$C$60,C241,E241))</f>
        <v>2.7886000000000024</v>
      </c>
      <c r="J241" s="116">
        <f>IF($B$7=constants!$C$60,H241,IF($B$8=constants!$C$60,D241,F241))</f>
        <v>1.5660000000000034</v>
      </c>
      <c r="K241" s="121">
        <f t="shared" si="61"/>
        <v>1</v>
      </c>
      <c r="L241" s="10">
        <f t="shared" si="71"/>
        <v>2.7886000000000024</v>
      </c>
      <c r="M241" s="126">
        <f t="shared" si="49"/>
        <v>2.4</v>
      </c>
      <c r="N241" s="126">
        <f t="shared" si="50"/>
        <v>2.4</v>
      </c>
      <c r="O241" s="126">
        <f>IF(OR($B$22=constants!$B$60,AND(I241&gt;$B$12,$B$12&lt;&gt;-1)),O240+(N241-O240)*$O$74,O240+(L241-O240)*$O$74)</f>
        <v>2.4</v>
      </c>
      <c r="P241" s="126">
        <f t="shared" si="55"/>
        <v>2.38</v>
      </c>
      <c r="Q241" s="123">
        <f t="shared" si="72"/>
        <v>2</v>
      </c>
      <c r="R241" s="123">
        <f t="shared" si="62"/>
        <v>2</v>
      </c>
      <c r="S241" s="3">
        <f t="shared" si="70"/>
        <v>0</v>
      </c>
      <c r="T241" s="3">
        <f t="shared" si="70"/>
        <v>0</v>
      </c>
      <c r="U241" s="3">
        <f t="shared" si="70"/>
        <v>0</v>
      </c>
      <c r="V241" s="3">
        <f t="shared" si="63"/>
        <v>0</v>
      </c>
      <c r="W241" s="3">
        <f t="shared" si="64"/>
        <v>0</v>
      </c>
      <c r="X241" s="3">
        <f t="shared" si="65"/>
        <v>0</v>
      </c>
      <c r="Y241" s="3">
        <f t="shared" si="57"/>
        <v>0</v>
      </c>
      <c r="Z241" s="3">
        <f t="shared" si="58"/>
        <v>0</v>
      </c>
      <c r="AA241" s="3">
        <f t="shared" si="59"/>
        <v>0</v>
      </c>
    </row>
    <row r="242" spans="1:27" x14ac:dyDescent="0.25">
      <c r="A242" s="3">
        <f t="shared" si="54"/>
        <v>1</v>
      </c>
      <c r="B242" s="113">
        <f t="shared" si="60"/>
        <v>1.6600000000000013</v>
      </c>
      <c r="C242" s="117">
        <f t="shared" si="67"/>
        <v>2.8090400000000022</v>
      </c>
      <c r="D242" s="117">
        <f t="shared" si="69"/>
        <v>1.5660000000000034</v>
      </c>
      <c r="E242" s="117">
        <f t="shared" ref="E242:E275" si="75">$K$11*$B242+$K$12</f>
        <v>3.7419800000000008</v>
      </c>
      <c r="F242" s="117">
        <f t="shared" si="73"/>
        <v>3.7569800000000009</v>
      </c>
      <c r="G242" s="117">
        <f t="shared" si="68"/>
        <v>2.8090400000000022</v>
      </c>
      <c r="H242" s="117">
        <f t="shared" si="74"/>
        <v>3.1129999999999995</v>
      </c>
      <c r="I242" s="116">
        <f>IF($B$7=constants!$C$60,G242,IF($B$8=constants!$C$60,C242,E242))</f>
        <v>2.8090400000000022</v>
      </c>
      <c r="J242" s="116">
        <f>IF($B$7=constants!$C$60,H242,IF($B$8=constants!$C$60,D242,F242))</f>
        <v>1.5660000000000034</v>
      </c>
      <c r="K242" s="121">
        <f t="shared" si="61"/>
        <v>1</v>
      </c>
      <c r="L242" s="10">
        <f t="shared" si="71"/>
        <v>2.8090400000000022</v>
      </c>
      <c r="M242" s="126">
        <f t="shared" ref="M242:M305" si="76">IF($K242=0,IF($I242&gt;$B$16,M241+($B$20-M241)*M$74-K$72,M241-M241/M$74),IF($I242&gt;$B$17,M241+($B$20-M241)*M$74-K$72,M241-M241/M$74))</f>
        <v>2.4</v>
      </c>
      <c r="N242" s="126">
        <f t="shared" si="50"/>
        <v>2.4</v>
      </c>
      <c r="O242" s="126">
        <f>IF(OR($B$22=constants!$B$60,AND(I242&gt;$B$12,$B$12&lt;&gt;-1)),O241+(N242-O241)*$O$74,O241+(L242-O241)*$O$74)</f>
        <v>2.4</v>
      </c>
      <c r="P242" s="126">
        <f t="shared" si="55"/>
        <v>2.38</v>
      </c>
      <c r="Q242" s="123">
        <f t="shared" si="72"/>
        <v>2</v>
      </c>
      <c r="R242" s="123">
        <f t="shared" si="62"/>
        <v>2</v>
      </c>
      <c r="S242" s="3">
        <f t="shared" si="70"/>
        <v>0</v>
      </c>
      <c r="T242" s="3">
        <f t="shared" si="70"/>
        <v>0</v>
      </c>
      <c r="U242" s="3">
        <f t="shared" si="70"/>
        <v>0</v>
      </c>
      <c r="V242" s="3">
        <f t="shared" si="63"/>
        <v>0</v>
      </c>
      <c r="W242" s="3">
        <f t="shared" si="64"/>
        <v>0</v>
      </c>
      <c r="X242" s="3">
        <f t="shared" si="65"/>
        <v>0</v>
      </c>
      <c r="Y242" s="3">
        <f t="shared" si="57"/>
        <v>0</v>
      </c>
      <c r="Z242" s="3">
        <f t="shared" si="58"/>
        <v>0</v>
      </c>
      <c r="AA242" s="3">
        <f t="shared" si="59"/>
        <v>0</v>
      </c>
    </row>
    <row r="243" spans="1:27" x14ac:dyDescent="0.25">
      <c r="A243" s="3">
        <f t="shared" si="54"/>
        <v>1</v>
      </c>
      <c r="B243" s="113">
        <f t="shared" si="60"/>
        <v>1.6700000000000013</v>
      </c>
      <c r="C243" s="117">
        <f t="shared" si="67"/>
        <v>2.8294800000000024</v>
      </c>
      <c r="D243" s="117">
        <f t="shared" si="69"/>
        <v>1.5660000000000034</v>
      </c>
      <c r="E243" s="117">
        <f t="shared" si="75"/>
        <v>3.7500100000000005</v>
      </c>
      <c r="F243" s="117">
        <f t="shared" si="73"/>
        <v>3.7650100000000006</v>
      </c>
      <c r="G243" s="117">
        <f t="shared" si="68"/>
        <v>2.8294800000000024</v>
      </c>
      <c r="H243" s="117">
        <f t="shared" si="74"/>
        <v>3.1129999999999995</v>
      </c>
      <c r="I243" s="116">
        <f>IF($B$7=constants!$C$60,G243,IF($B$8=constants!$C$60,C243,E243))</f>
        <v>2.8294800000000024</v>
      </c>
      <c r="J243" s="116">
        <f>IF($B$7=constants!$C$60,H243,IF($B$8=constants!$C$60,D243,F243))</f>
        <v>1.5660000000000034</v>
      </c>
      <c r="K243" s="121">
        <f t="shared" si="61"/>
        <v>1</v>
      </c>
      <c r="L243" s="10">
        <f t="shared" si="71"/>
        <v>2.8294800000000024</v>
      </c>
      <c r="M243" s="126">
        <f t="shared" si="76"/>
        <v>2.4</v>
      </c>
      <c r="N243" s="126">
        <f t="shared" si="50"/>
        <v>2.4</v>
      </c>
      <c r="O243" s="126">
        <f>IF(OR($B$22=constants!$B$60,AND(I243&gt;$B$12,$B$12&lt;&gt;-1)),O242+(N243-O242)*$O$74,O242+(L243-O242)*$O$74)</f>
        <v>2.4</v>
      </c>
      <c r="P243" s="126">
        <f t="shared" si="55"/>
        <v>2.38</v>
      </c>
      <c r="Q243" s="123">
        <f t="shared" si="72"/>
        <v>2</v>
      </c>
      <c r="R243" s="123">
        <f t="shared" si="62"/>
        <v>2</v>
      </c>
      <c r="S243" s="3">
        <f t="shared" si="70"/>
        <v>0</v>
      </c>
      <c r="T243" s="3">
        <f t="shared" si="70"/>
        <v>0</v>
      </c>
      <c r="U243" s="3">
        <f t="shared" si="70"/>
        <v>0</v>
      </c>
      <c r="V243" s="3">
        <f t="shared" si="63"/>
        <v>0</v>
      </c>
      <c r="W243" s="3">
        <f t="shared" si="64"/>
        <v>0</v>
      </c>
      <c r="X243" s="3">
        <f t="shared" si="65"/>
        <v>0</v>
      </c>
      <c r="Y243" s="3">
        <f t="shared" si="57"/>
        <v>0</v>
      </c>
      <c r="Z243" s="3">
        <f t="shared" si="58"/>
        <v>0</v>
      </c>
      <c r="AA243" s="3">
        <f t="shared" si="59"/>
        <v>0</v>
      </c>
    </row>
    <row r="244" spans="1:27" x14ac:dyDescent="0.25">
      <c r="A244" s="3">
        <f t="shared" si="54"/>
        <v>1</v>
      </c>
      <c r="B244" s="113">
        <f t="shared" si="60"/>
        <v>1.6800000000000013</v>
      </c>
      <c r="C244" s="117">
        <f t="shared" si="67"/>
        <v>2.8499200000000022</v>
      </c>
      <c r="D244" s="117">
        <f t="shared" si="69"/>
        <v>1.5660000000000034</v>
      </c>
      <c r="E244" s="117">
        <f t="shared" si="75"/>
        <v>3.7580400000000007</v>
      </c>
      <c r="F244" s="117">
        <f t="shared" si="73"/>
        <v>3.7730400000000008</v>
      </c>
      <c r="G244" s="117">
        <f t="shared" si="68"/>
        <v>2.8499200000000022</v>
      </c>
      <c r="H244" s="117">
        <f t="shared" si="74"/>
        <v>3.1129999999999995</v>
      </c>
      <c r="I244" s="116">
        <f>IF($B$7=constants!$C$60,G244,IF($B$8=constants!$C$60,C244,E244))</f>
        <v>2.8499200000000022</v>
      </c>
      <c r="J244" s="116">
        <f>IF($B$7=constants!$C$60,H244,IF($B$8=constants!$C$60,D244,F244))</f>
        <v>1.5660000000000034</v>
      </c>
      <c r="K244" s="121">
        <f t="shared" si="61"/>
        <v>1</v>
      </c>
      <c r="L244" s="10">
        <f t="shared" si="71"/>
        <v>2.8499200000000022</v>
      </c>
      <c r="M244" s="126">
        <f t="shared" si="76"/>
        <v>2.4</v>
      </c>
      <c r="N244" s="126">
        <f t="shared" si="50"/>
        <v>2.4</v>
      </c>
      <c r="O244" s="126">
        <f>IF(OR($B$22=constants!$B$60,AND(I244&gt;$B$12,$B$12&lt;&gt;-1)),O243+(N244-O243)*$O$74,O243+(L244-O243)*$O$74)</f>
        <v>2.4</v>
      </c>
      <c r="P244" s="126">
        <f t="shared" si="55"/>
        <v>2.38</v>
      </c>
      <c r="Q244" s="123">
        <f t="shared" si="72"/>
        <v>2</v>
      </c>
      <c r="R244" s="123">
        <f t="shared" si="62"/>
        <v>2</v>
      </c>
      <c r="S244" s="3">
        <f t="shared" si="70"/>
        <v>0</v>
      </c>
      <c r="T244" s="3">
        <f t="shared" si="70"/>
        <v>0</v>
      </c>
      <c r="U244" s="3">
        <f t="shared" si="70"/>
        <v>0</v>
      </c>
      <c r="V244" s="3">
        <f t="shared" si="63"/>
        <v>0</v>
      </c>
      <c r="W244" s="3">
        <f t="shared" si="64"/>
        <v>0</v>
      </c>
      <c r="X244" s="3">
        <f t="shared" si="65"/>
        <v>0</v>
      </c>
      <c r="Y244" s="3">
        <f t="shared" si="57"/>
        <v>0</v>
      </c>
      <c r="Z244" s="3">
        <f t="shared" si="58"/>
        <v>0</v>
      </c>
      <c r="AA244" s="3">
        <f t="shared" si="59"/>
        <v>0</v>
      </c>
    </row>
    <row r="245" spans="1:27" x14ac:dyDescent="0.25">
      <c r="A245" s="3">
        <f t="shared" si="54"/>
        <v>1</v>
      </c>
      <c r="B245" s="113">
        <f t="shared" si="60"/>
        <v>1.6900000000000013</v>
      </c>
      <c r="C245" s="117">
        <f t="shared" si="67"/>
        <v>2.8703600000000025</v>
      </c>
      <c r="D245" s="117">
        <f t="shared" si="69"/>
        <v>1.5660000000000034</v>
      </c>
      <c r="E245" s="117">
        <f t="shared" si="75"/>
        <v>3.7660700000000009</v>
      </c>
      <c r="F245" s="117">
        <f t="shared" si="73"/>
        <v>3.781070000000001</v>
      </c>
      <c r="G245" s="117">
        <f t="shared" si="68"/>
        <v>2.8703600000000025</v>
      </c>
      <c r="H245" s="117">
        <f t="shared" si="74"/>
        <v>3.1129999999999995</v>
      </c>
      <c r="I245" s="116">
        <f>IF($B$7=constants!$C$60,G245,IF($B$8=constants!$C$60,C245,E245))</f>
        <v>2.8703600000000025</v>
      </c>
      <c r="J245" s="116">
        <f>IF($B$7=constants!$C$60,H245,IF($B$8=constants!$C$60,D245,F245))</f>
        <v>1.5660000000000034</v>
      </c>
      <c r="K245" s="121">
        <f t="shared" si="61"/>
        <v>1</v>
      </c>
      <c r="L245" s="10">
        <f t="shared" si="71"/>
        <v>2.8703600000000025</v>
      </c>
      <c r="M245" s="126">
        <f t="shared" si="76"/>
        <v>2.4</v>
      </c>
      <c r="N245" s="126">
        <f t="shared" si="50"/>
        <v>2.4</v>
      </c>
      <c r="O245" s="126">
        <f>IF(OR($B$22=constants!$B$60,AND(I245&gt;$B$12,$B$12&lt;&gt;-1)),O244+(N245-O244)*$O$74,O244+(L245-O244)*$O$74)</f>
        <v>2.4</v>
      </c>
      <c r="P245" s="126">
        <f t="shared" si="55"/>
        <v>2.38</v>
      </c>
      <c r="Q245" s="123">
        <f t="shared" si="72"/>
        <v>2</v>
      </c>
      <c r="R245" s="123">
        <f t="shared" si="62"/>
        <v>2</v>
      </c>
      <c r="S245" s="3">
        <f t="shared" si="70"/>
        <v>0</v>
      </c>
      <c r="T245" s="3">
        <f t="shared" si="70"/>
        <v>0</v>
      </c>
      <c r="U245" s="3">
        <f t="shared" si="70"/>
        <v>0</v>
      </c>
      <c r="V245" s="3">
        <f t="shared" si="63"/>
        <v>0</v>
      </c>
      <c r="W245" s="3">
        <f t="shared" si="64"/>
        <v>0</v>
      </c>
      <c r="X245" s="3">
        <f t="shared" si="65"/>
        <v>0</v>
      </c>
      <c r="Y245" s="3">
        <f t="shared" si="57"/>
        <v>0</v>
      </c>
      <c r="Z245" s="3">
        <f t="shared" si="58"/>
        <v>0</v>
      </c>
      <c r="AA245" s="3">
        <f t="shared" si="59"/>
        <v>0</v>
      </c>
    </row>
    <row r="246" spans="1:27" x14ac:dyDescent="0.25">
      <c r="A246" s="3">
        <f t="shared" si="54"/>
        <v>1</v>
      </c>
      <c r="B246" s="113">
        <f t="shared" si="60"/>
        <v>1.7000000000000013</v>
      </c>
      <c r="C246" s="117">
        <f t="shared" si="67"/>
        <v>2.8908000000000027</v>
      </c>
      <c r="D246" s="117">
        <f t="shared" si="69"/>
        <v>1.5660000000000034</v>
      </c>
      <c r="E246" s="117">
        <f t="shared" si="75"/>
        <v>3.7741000000000007</v>
      </c>
      <c r="F246" s="117">
        <f t="shared" si="73"/>
        <v>3.7891000000000008</v>
      </c>
      <c r="G246" s="117">
        <f t="shared" si="68"/>
        <v>2.8908000000000027</v>
      </c>
      <c r="H246" s="117">
        <f t="shared" si="74"/>
        <v>3.1129999999999995</v>
      </c>
      <c r="I246" s="116">
        <f>IF($B$7=constants!$C$60,G246,IF($B$8=constants!$C$60,C246,E246))</f>
        <v>2.8908000000000027</v>
      </c>
      <c r="J246" s="116">
        <f>IF($B$7=constants!$C$60,H246,IF($B$8=constants!$C$60,D246,F246))</f>
        <v>1.5660000000000034</v>
      </c>
      <c r="K246" s="121">
        <f t="shared" si="61"/>
        <v>1</v>
      </c>
      <c r="L246" s="10">
        <f t="shared" si="71"/>
        <v>2.8908000000000027</v>
      </c>
      <c r="M246" s="126">
        <f t="shared" si="76"/>
        <v>2.4</v>
      </c>
      <c r="N246" s="126">
        <f t="shared" si="50"/>
        <v>2.4</v>
      </c>
      <c r="O246" s="126">
        <f>IF(OR($B$22=constants!$B$60,AND(I246&gt;$B$12,$B$12&lt;&gt;-1)),O245+(N246-O245)*$O$74,O245+(L246-O245)*$O$74)</f>
        <v>2.4</v>
      </c>
      <c r="P246" s="126">
        <f t="shared" si="55"/>
        <v>2.38</v>
      </c>
      <c r="Q246" s="123">
        <f t="shared" si="72"/>
        <v>2</v>
      </c>
      <c r="R246" s="123">
        <f t="shared" si="62"/>
        <v>2</v>
      </c>
      <c r="S246" s="3">
        <f t="shared" si="70"/>
        <v>0</v>
      </c>
      <c r="T246" s="3">
        <f t="shared" si="70"/>
        <v>0</v>
      </c>
      <c r="U246" s="3">
        <f t="shared" si="70"/>
        <v>0</v>
      </c>
      <c r="V246" s="3">
        <f t="shared" si="63"/>
        <v>0</v>
      </c>
      <c r="W246" s="3">
        <f t="shared" si="64"/>
        <v>0</v>
      </c>
      <c r="X246" s="3">
        <f t="shared" si="65"/>
        <v>0</v>
      </c>
      <c r="Y246" s="3">
        <f t="shared" si="57"/>
        <v>0</v>
      </c>
      <c r="Z246" s="3">
        <f t="shared" si="58"/>
        <v>0</v>
      </c>
      <c r="AA246" s="3">
        <f t="shared" si="59"/>
        <v>0</v>
      </c>
    </row>
    <row r="247" spans="1:27" x14ac:dyDescent="0.25">
      <c r="A247" s="3">
        <f t="shared" si="54"/>
        <v>1</v>
      </c>
      <c r="B247" s="113">
        <f t="shared" si="60"/>
        <v>1.7100000000000013</v>
      </c>
      <c r="C247" s="117">
        <f t="shared" si="67"/>
        <v>2.9112400000000025</v>
      </c>
      <c r="D247" s="117">
        <f t="shared" si="69"/>
        <v>1.5660000000000034</v>
      </c>
      <c r="E247" s="117">
        <f t="shared" si="75"/>
        <v>3.7821300000000004</v>
      </c>
      <c r="F247" s="117">
        <f t="shared" si="73"/>
        <v>3.7971300000000006</v>
      </c>
      <c r="G247" s="117">
        <f t="shared" si="68"/>
        <v>2.9112400000000025</v>
      </c>
      <c r="H247" s="117">
        <f t="shared" si="74"/>
        <v>3.1129999999999995</v>
      </c>
      <c r="I247" s="116">
        <f>IF($B$7=constants!$C$60,G247,IF($B$8=constants!$C$60,C247,E247))</f>
        <v>2.9112400000000025</v>
      </c>
      <c r="J247" s="116">
        <f>IF($B$7=constants!$C$60,H247,IF($B$8=constants!$C$60,D247,F247))</f>
        <v>1.5660000000000034</v>
      </c>
      <c r="K247" s="121">
        <f t="shared" si="61"/>
        <v>1</v>
      </c>
      <c r="L247" s="10">
        <f t="shared" si="71"/>
        <v>2.9112400000000025</v>
      </c>
      <c r="M247" s="126">
        <f t="shared" si="76"/>
        <v>2.4</v>
      </c>
      <c r="N247" s="126">
        <f t="shared" si="50"/>
        <v>2.4</v>
      </c>
      <c r="O247" s="126">
        <f>IF(OR($B$22=constants!$B$60,AND(I247&gt;$B$12,$B$12&lt;&gt;-1)),O246+(N247-O246)*$O$74,O246+(L247-O246)*$O$74)</f>
        <v>2.4</v>
      </c>
      <c r="P247" s="126">
        <f t="shared" si="55"/>
        <v>2.38</v>
      </c>
      <c r="Q247" s="123">
        <f t="shared" si="72"/>
        <v>2</v>
      </c>
      <c r="R247" s="123">
        <f t="shared" si="62"/>
        <v>2</v>
      </c>
      <c r="S247" s="3">
        <f t="shared" si="70"/>
        <v>0</v>
      </c>
      <c r="T247" s="3">
        <f t="shared" si="70"/>
        <v>0</v>
      </c>
      <c r="U247" s="3">
        <f t="shared" si="70"/>
        <v>0</v>
      </c>
      <c r="V247" s="3">
        <f t="shared" si="63"/>
        <v>0</v>
      </c>
      <c r="W247" s="3">
        <f t="shared" si="64"/>
        <v>0</v>
      </c>
      <c r="X247" s="3">
        <f t="shared" si="65"/>
        <v>0</v>
      </c>
      <c r="Y247" s="3">
        <f t="shared" si="57"/>
        <v>0</v>
      </c>
      <c r="Z247" s="3">
        <f t="shared" si="58"/>
        <v>0</v>
      </c>
      <c r="AA247" s="3">
        <f t="shared" si="59"/>
        <v>0</v>
      </c>
    </row>
    <row r="248" spans="1:27" x14ac:dyDescent="0.25">
      <c r="A248" s="3">
        <f t="shared" si="54"/>
        <v>1</v>
      </c>
      <c r="B248" s="113">
        <f t="shared" si="60"/>
        <v>1.7200000000000013</v>
      </c>
      <c r="C248" s="117">
        <f t="shared" si="67"/>
        <v>2.9316800000000027</v>
      </c>
      <c r="D248" s="117">
        <f t="shared" si="69"/>
        <v>1.5660000000000034</v>
      </c>
      <c r="E248" s="117">
        <f t="shared" si="75"/>
        <v>3.7901600000000006</v>
      </c>
      <c r="F248" s="117">
        <f t="shared" si="73"/>
        <v>3.8051600000000008</v>
      </c>
      <c r="G248" s="117">
        <f t="shared" si="68"/>
        <v>2.9316800000000027</v>
      </c>
      <c r="H248" s="117">
        <f t="shared" si="74"/>
        <v>3.1129999999999995</v>
      </c>
      <c r="I248" s="116">
        <f>IF($B$7=constants!$C$60,G248,IF($B$8=constants!$C$60,C248,E248))</f>
        <v>2.9316800000000027</v>
      </c>
      <c r="J248" s="116">
        <f>IF($B$7=constants!$C$60,H248,IF($B$8=constants!$C$60,D248,F248))</f>
        <v>1.5660000000000034</v>
      </c>
      <c r="K248" s="121">
        <f t="shared" si="61"/>
        <v>1</v>
      </c>
      <c r="L248" s="10">
        <f t="shared" si="71"/>
        <v>2.9316800000000027</v>
      </c>
      <c r="M248" s="126">
        <f t="shared" si="76"/>
        <v>2.4</v>
      </c>
      <c r="N248" s="126">
        <f t="shared" si="50"/>
        <v>2.4</v>
      </c>
      <c r="O248" s="126">
        <f>IF(OR($B$22=constants!$B$60,AND(I248&gt;$B$12,$B$12&lt;&gt;-1)),O247+(N248-O247)*$O$74,O247+(L248-O247)*$O$74)</f>
        <v>2.4</v>
      </c>
      <c r="P248" s="126">
        <f t="shared" si="55"/>
        <v>2.38</v>
      </c>
      <c r="Q248" s="123">
        <f t="shared" si="72"/>
        <v>2</v>
      </c>
      <c r="R248" s="123">
        <f t="shared" si="62"/>
        <v>2</v>
      </c>
      <c r="S248" s="3">
        <f t="shared" si="70"/>
        <v>0</v>
      </c>
      <c r="T248" s="3">
        <f t="shared" si="70"/>
        <v>0</v>
      </c>
      <c r="U248" s="3">
        <f t="shared" si="70"/>
        <v>0</v>
      </c>
      <c r="V248" s="3">
        <f t="shared" si="63"/>
        <v>0</v>
      </c>
      <c r="W248" s="3">
        <f t="shared" si="64"/>
        <v>0</v>
      </c>
      <c r="X248" s="3">
        <f t="shared" si="65"/>
        <v>0</v>
      </c>
      <c r="Y248" s="3">
        <f t="shared" si="57"/>
        <v>0</v>
      </c>
      <c r="Z248" s="3">
        <f t="shared" si="58"/>
        <v>0</v>
      </c>
      <c r="AA248" s="3">
        <f t="shared" si="59"/>
        <v>0</v>
      </c>
    </row>
    <row r="249" spans="1:27" x14ac:dyDescent="0.25">
      <c r="A249" s="3">
        <f t="shared" si="54"/>
        <v>1</v>
      </c>
      <c r="B249" s="113">
        <f t="shared" si="60"/>
        <v>1.7300000000000013</v>
      </c>
      <c r="C249" s="117">
        <f t="shared" si="67"/>
        <v>2.9521200000000025</v>
      </c>
      <c r="D249" s="117">
        <f t="shared" si="69"/>
        <v>1.5660000000000034</v>
      </c>
      <c r="E249" s="117">
        <f t="shared" si="75"/>
        <v>3.7981900000000008</v>
      </c>
      <c r="F249" s="117">
        <f t="shared" si="73"/>
        <v>3.813190000000001</v>
      </c>
      <c r="G249" s="117">
        <f t="shared" si="68"/>
        <v>2.9521200000000025</v>
      </c>
      <c r="H249" s="117">
        <f t="shared" si="74"/>
        <v>3.1129999999999995</v>
      </c>
      <c r="I249" s="116">
        <f>IF($B$7=constants!$C$60,G249,IF($B$8=constants!$C$60,C249,E249))</f>
        <v>2.9521200000000025</v>
      </c>
      <c r="J249" s="116">
        <f>IF($B$7=constants!$C$60,H249,IF($B$8=constants!$C$60,D249,F249))</f>
        <v>1.5660000000000034</v>
      </c>
      <c r="K249" s="121">
        <f t="shared" si="61"/>
        <v>1</v>
      </c>
      <c r="L249" s="10">
        <f t="shared" si="71"/>
        <v>2.9521200000000025</v>
      </c>
      <c r="M249" s="126">
        <f t="shared" si="76"/>
        <v>2.4</v>
      </c>
      <c r="N249" s="126">
        <f t="shared" si="50"/>
        <v>2.4</v>
      </c>
      <c r="O249" s="126">
        <f>IF(OR($B$22=constants!$B$60,AND(I249&gt;$B$12,$B$12&lt;&gt;-1)),O248+(N249-O248)*$O$74,O248+(L249-O248)*$O$74)</f>
        <v>2.4</v>
      </c>
      <c r="P249" s="126">
        <f t="shared" si="55"/>
        <v>2.38</v>
      </c>
      <c r="Q249" s="123">
        <f t="shared" si="72"/>
        <v>2</v>
      </c>
      <c r="R249" s="123">
        <f t="shared" si="62"/>
        <v>2</v>
      </c>
      <c r="S249" s="3">
        <f t="shared" si="70"/>
        <v>0</v>
      </c>
      <c r="T249" s="3">
        <f t="shared" si="70"/>
        <v>0</v>
      </c>
      <c r="U249" s="3">
        <f t="shared" si="70"/>
        <v>0</v>
      </c>
      <c r="V249" s="3">
        <f t="shared" si="63"/>
        <v>0</v>
      </c>
      <c r="W249" s="3">
        <f t="shared" si="64"/>
        <v>0</v>
      </c>
      <c r="X249" s="3">
        <f t="shared" si="65"/>
        <v>0</v>
      </c>
      <c r="Y249" s="3">
        <f t="shared" si="57"/>
        <v>0</v>
      </c>
      <c r="Z249" s="3">
        <f t="shared" si="58"/>
        <v>0</v>
      </c>
      <c r="AA249" s="3">
        <f t="shared" si="59"/>
        <v>0</v>
      </c>
    </row>
    <row r="250" spans="1:27" x14ac:dyDescent="0.25">
      <c r="A250" s="3">
        <f t="shared" si="54"/>
        <v>1</v>
      </c>
      <c r="B250" s="113">
        <f t="shared" si="60"/>
        <v>1.7400000000000013</v>
      </c>
      <c r="C250" s="117">
        <f t="shared" si="67"/>
        <v>2.9725600000000028</v>
      </c>
      <c r="D250" s="117">
        <f t="shared" si="69"/>
        <v>1.5660000000000034</v>
      </c>
      <c r="E250" s="117">
        <f t="shared" si="75"/>
        <v>3.8062200000000006</v>
      </c>
      <c r="F250" s="117">
        <f t="shared" si="73"/>
        <v>3.8212200000000007</v>
      </c>
      <c r="G250" s="117">
        <f t="shared" si="68"/>
        <v>2.9725600000000028</v>
      </c>
      <c r="H250" s="117">
        <f t="shared" si="74"/>
        <v>3.1129999999999995</v>
      </c>
      <c r="I250" s="116">
        <f>IF($B$7=constants!$C$60,G250,IF($B$8=constants!$C$60,C250,E250))</f>
        <v>2.9725600000000028</v>
      </c>
      <c r="J250" s="116">
        <f>IF($B$7=constants!$C$60,H250,IF($B$8=constants!$C$60,D250,F250))</f>
        <v>1.5660000000000034</v>
      </c>
      <c r="K250" s="121">
        <f t="shared" si="61"/>
        <v>1</v>
      </c>
      <c r="L250" s="10">
        <f t="shared" si="71"/>
        <v>2.9725600000000028</v>
      </c>
      <c r="M250" s="126">
        <f t="shared" si="76"/>
        <v>2.4</v>
      </c>
      <c r="N250" s="126">
        <f t="shared" si="50"/>
        <v>2.4</v>
      </c>
      <c r="O250" s="126">
        <f>IF(OR($B$22=constants!$B$60,AND(I250&gt;$B$12,$B$12&lt;&gt;-1)),O249+(N250-O249)*$O$74,O249+(L250-O249)*$O$74)</f>
        <v>2.4</v>
      </c>
      <c r="P250" s="126">
        <f t="shared" si="55"/>
        <v>2.38</v>
      </c>
      <c r="Q250" s="123">
        <f t="shared" si="72"/>
        <v>2</v>
      </c>
      <c r="R250" s="123">
        <f t="shared" si="62"/>
        <v>2</v>
      </c>
      <c r="S250" s="3">
        <f t="shared" si="70"/>
        <v>0</v>
      </c>
      <c r="T250" s="3">
        <f t="shared" si="70"/>
        <v>0</v>
      </c>
      <c r="U250" s="3">
        <f t="shared" si="70"/>
        <v>0</v>
      </c>
      <c r="V250" s="3">
        <f t="shared" si="63"/>
        <v>0</v>
      </c>
      <c r="W250" s="3">
        <f t="shared" si="64"/>
        <v>0</v>
      </c>
      <c r="X250" s="3">
        <f t="shared" si="65"/>
        <v>0</v>
      </c>
      <c r="Y250" s="3">
        <f t="shared" si="57"/>
        <v>0</v>
      </c>
      <c r="Z250" s="3">
        <f t="shared" si="58"/>
        <v>0</v>
      </c>
      <c r="AA250" s="3">
        <f t="shared" si="59"/>
        <v>0</v>
      </c>
    </row>
    <row r="251" spans="1:27" x14ac:dyDescent="0.25">
      <c r="A251" s="3">
        <f t="shared" si="54"/>
        <v>1</v>
      </c>
      <c r="B251" s="113">
        <f t="shared" si="60"/>
        <v>1.7500000000000013</v>
      </c>
      <c r="C251" s="117">
        <f>$D$23*B251+$D$24</f>
        <v>2.9929999999999968</v>
      </c>
      <c r="D251" s="117">
        <f>$G$23*$B251+$G$24</f>
        <v>1.5660000000000052</v>
      </c>
      <c r="E251" s="117">
        <f t="shared" si="75"/>
        <v>3.8142500000000008</v>
      </c>
      <c r="F251" s="117">
        <f t="shared" si="73"/>
        <v>3.8292500000000009</v>
      </c>
      <c r="G251" s="117">
        <f>B251*$H$56+$H$57</f>
        <v>2.9930000000000003</v>
      </c>
      <c r="H251" s="117">
        <f t="shared" si="74"/>
        <v>3.1129999999999995</v>
      </c>
      <c r="I251" s="116">
        <f>IF($B$7=constants!$C$60,G251,IF($B$8=constants!$C$60,C251,E251))</f>
        <v>2.9929999999999968</v>
      </c>
      <c r="J251" s="116">
        <f>IF($B$7=constants!$C$60,H251,IF($B$8=constants!$C$60,D251,F251))</f>
        <v>1.5660000000000052</v>
      </c>
      <c r="K251" s="121">
        <f t="shared" si="61"/>
        <v>1</v>
      </c>
      <c r="L251" s="10">
        <f t="shared" si="71"/>
        <v>2.9929999999999968</v>
      </c>
      <c r="M251" s="126">
        <f t="shared" si="76"/>
        <v>2.4</v>
      </c>
      <c r="N251" s="126">
        <f t="shared" si="50"/>
        <v>2.4</v>
      </c>
      <c r="O251" s="126">
        <f>IF(OR($B$22=constants!$B$60,AND(I251&gt;$B$12,$B$12&lt;&gt;-1)),O250+(N251-O250)*$O$74,O250+(L251-O250)*$O$74)</f>
        <v>2.4</v>
      </c>
      <c r="P251" s="126">
        <f t="shared" si="55"/>
        <v>2.38</v>
      </c>
      <c r="Q251" s="123">
        <f t="shared" si="72"/>
        <v>2</v>
      </c>
      <c r="R251" s="123">
        <f t="shared" si="62"/>
        <v>2</v>
      </c>
      <c r="S251" s="3">
        <f t="shared" si="70"/>
        <v>0</v>
      </c>
      <c r="T251" s="3">
        <f t="shared" si="70"/>
        <v>0</v>
      </c>
      <c r="U251" s="3">
        <f t="shared" si="70"/>
        <v>0</v>
      </c>
      <c r="V251" s="3">
        <f t="shared" si="63"/>
        <v>0</v>
      </c>
      <c r="W251" s="3">
        <f t="shared" si="64"/>
        <v>0</v>
      </c>
      <c r="X251" s="3">
        <f t="shared" si="65"/>
        <v>0</v>
      </c>
      <c r="Y251" s="3">
        <f t="shared" si="57"/>
        <v>0</v>
      </c>
      <c r="Z251" s="3">
        <f t="shared" si="58"/>
        <v>0</v>
      </c>
      <c r="AA251" s="3">
        <f t="shared" si="59"/>
        <v>0</v>
      </c>
    </row>
    <row r="252" spans="1:27" x14ac:dyDescent="0.25">
      <c r="A252" s="3">
        <f t="shared" si="54"/>
        <v>1</v>
      </c>
      <c r="B252" s="113">
        <f t="shared" si="60"/>
        <v>1.7600000000000013</v>
      </c>
      <c r="C252" s="117">
        <f t="shared" ref="C252:C275" si="77">$D$23*B252+$D$24</f>
        <v>2.9725599999999965</v>
      </c>
      <c r="D252" s="117">
        <f t="shared" ref="D252:D276" si="78">$G$23*$B252+$G$24</f>
        <v>1.6026400000000054</v>
      </c>
      <c r="E252" s="117">
        <f t="shared" si="75"/>
        <v>3.822280000000001</v>
      </c>
      <c r="F252" s="117">
        <f t="shared" si="73"/>
        <v>3.8372800000000011</v>
      </c>
      <c r="G252" s="117">
        <f t="shared" ref="G252:G276" si="79">B252*$H$56+$H$57</f>
        <v>2.9972000000000003</v>
      </c>
      <c r="H252" s="117">
        <f t="shared" si="74"/>
        <v>3.1129999999999995</v>
      </c>
      <c r="I252" s="116">
        <f>IF($B$7=constants!$C$60,G252,IF($B$8=constants!$C$60,C252,E252))</f>
        <v>2.9725599999999965</v>
      </c>
      <c r="J252" s="116">
        <f>IF($B$7=constants!$C$60,H252,IF($B$8=constants!$C$60,D252,F252))</f>
        <v>1.6026400000000054</v>
      </c>
      <c r="K252" s="121">
        <f t="shared" si="61"/>
        <v>1</v>
      </c>
      <c r="L252" s="10">
        <f t="shared" si="71"/>
        <v>2.9725599999999965</v>
      </c>
      <c r="M252" s="126">
        <f t="shared" si="76"/>
        <v>2.4</v>
      </c>
      <c r="N252" s="126">
        <f t="shared" si="50"/>
        <v>2.4</v>
      </c>
      <c r="O252" s="126">
        <f>IF(OR($B$22=constants!$B$60,AND(I252&gt;$B$12,$B$12&lt;&gt;-1)),O251+(N252-O251)*$O$74,O251+(L252-O251)*$O$74)</f>
        <v>2.4</v>
      </c>
      <c r="P252" s="126">
        <f t="shared" si="55"/>
        <v>2.38</v>
      </c>
      <c r="Q252" s="123">
        <f t="shared" si="72"/>
        <v>2</v>
      </c>
      <c r="R252" s="123">
        <f t="shared" si="62"/>
        <v>2</v>
      </c>
      <c r="S252" s="3">
        <f t="shared" si="70"/>
        <v>0</v>
      </c>
      <c r="T252" s="3">
        <f t="shared" si="70"/>
        <v>0</v>
      </c>
      <c r="U252" s="3">
        <f t="shared" si="70"/>
        <v>0</v>
      </c>
      <c r="V252" s="3">
        <f t="shared" si="63"/>
        <v>0</v>
      </c>
      <c r="W252" s="3">
        <f t="shared" si="64"/>
        <v>0</v>
      </c>
      <c r="X252" s="3">
        <f t="shared" si="65"/>
        <v>0</v>
      </c>
      <c r="Y252" s="3">
        <f t="shared" si="57"/>
        <v>0</v>
      </c>
      <c r="Z252" s="3">
        <f t="shared" si="58"/>
        <v>0</v>
      </c>
      <c r="AA252" s="3">
        <f t="shared" si="59"/>
        <v>0</v>
      </c>
    </row>
    <row r="253" spans="1:27" x14ac:dyDescent="0.25">
      <c r="A253" s="3">
        <f t="shared" si="54"/>
        <v>1</v>
      </c>
      <c r="B253" s="113">
        <f t="shared" si="60"/>
        <v>1.7700000000000014</v>
      </c>
      <c r="C253" s="117">
        <f t="shared" si="77"/>
        <v>2.9521199999999967</v>
      </c>
      <c r="D253" s="117">
        <f t="shared" si="78"/>
        <v>1.6392800000000056</v>
      </c>
      <c r="E253" s="117">
        <f t="shared" si="75"/>
        <v>3.8303100000000008</v>
      </c>
      <c r="F253" s="117">
        <f t="shared" si="73"/>
        <v>3.8453100000000009</v>
      </c>
      <c r="G253" s="117">
        <f t="shared" si="79"/>
        <v>3.0014000000000003</v>
      </c>
      <c r="H253" s="117">
        <f t="shared" si="74"/>
        <v>3.1129999999999995</v>
      </c>
      <c r="I253" s="116">
        <f>IF($B$7=constants!$C$60,G253,IF($B$8=constants!$C$60,C253,E253))</f>
        <v>2.9521199999999967</v>
      </c>
      <c r="J253" s="116">
        <f>IF($B$7=constants!$C$60,H253,IF($B$8=constants!$C$60,D253,F253))</f>
        <v>1.6392800000000056</v>
      </c>
      <c r="K253" s="121">
        <f t="shared" si="61"/>
        <v>1</v>
      </c>
      <c r="L253" s="10">
        <f t="shared" si="71"/>
        <v>2.9521199999999967</v>
      </c>
      <c r="M253" s="126">
        <f t="shared" si="76"/>
        <v>2.4</v>
      </c>
      <c r="N253" s="126">
        <f t="shared" si="50"/>
        <v>2.4</v>
      </c>
      <c r="O253" s="126">
        <f>IF(OR($B$22=constants!$B$60,AND(I253&gt;$B$12,$B$12&lt;&gt;-1)),O252+(N253-O252)*$O$74,O252+(L253-O252)*$O$74)</f>
        <v>2.4</v>
      </c>
      <c r="P253" s="126">
        <f t="shared" si="55"/>
        <v>2.38</v>
      </c>
      <c r="Q253" s="123">
        <f t="shared" si="72"/>
        <v>2</v>
      </c>
      <c r="R253" s="123">
        <f t="shared" si="62"/>
        <v>2</v>
      </c>
      <c r="S253" s="3">
        <f t="shared" si="70"/>
        <v>0</v>
      </c>
      <c r="T253" s="3">
        <f t="shared" si="70"/>
        <v>0</v>
      </c>
      <c r="U253" s="3">
        <f t="shared" si="70"/>
        <v>0</v>
      </c>
      <c r="V253" s="3">
        <f t="shared" si="63"/>
        <v>0</v>
      </c>
      <c r="W253" s="3">
        <f t="shared" si="64"/>
        <v>0</v>
      </c>
      <c r="X253" s="3">
        <f t="shared" si="65"/>
        <v>0</v>
      </c>
      <c r="Y253" s="3">
        <f t="shared" si="57"/>
        <v>0</v>
      </c>
      <c r="Z253" s="3">
        <f t="shared" si="58"/>
        <v>0</v>
      </c>
      <c r="AA253" s="3">
        <f t="shared" si="59"/>
        <v>0</v>
      </c>
    </row>
    <row r="254" spans="1:27" x14ac:dyDescent="0.25">
      <c r="A254" s="3">
        <f t="shared" si="54"/>
        <v>1</v>
      </c>
      <c r="B254" s="113">
        <f t="shared" si="60"/>
        <v>1.7800000000000014</v>
      </c>
      <c r="C254" s="117">
        <f t="shared" si="77"/>
        <v>2.9316799999999965</v>
      </c>
      <c r="D254" s="117">
        <f t="shared" si="78"/>
        <v>1.675920000000005</v>
      </c>
      <c r="E254" s="117">
        <f t="shared" si="75"/>
        <v>3.8383400000000005</v>
      </c>
      <c r="F254" s="117">
        <f t="shared" si="73"/>
        <v>3.8533400000000007</v>
      </c>
      <c r="G254" s="117">
        <f t="shared" si="79"/>
        <v>3.0056000000000003</v>
      </c>
      <c r="H254" s="117">
        <f t="shared" si="74"/>
        <v>3.1129999999999995</v>
      </c>
      <c r="I254" s="116">
        <f>IF($B$7=constants!$C$60,G254,IF($B$8=constants!$C$60,C254,E254))</f>
        <v>2.9316799999999965</v>
      </c>
      <c r="J254" s="116">
        <f>IF($B$7=constants!$C$60,H254,IF($B$8=constants!$C$60,D254,F254))</f>
        <v>1.675920000000005</v>
      </c>
      <c r="K254" s="121">
        <f t="shared" si="61"/>
        <v>1</v>
      </c>
      <c r="L254" s="10">
        <f t="shared" si="71"/>
        <v>2.9316799999999965</v>
      </c>
      <c r="M254" s="126">
        <f t="shared" si="76"/>
        <v>2.4</v>
      </c>
      <c r="N254" s="126">
        <f t="shared" si="50"/>
        <v>2.4</v>
      </c>
      <c r="O254" s="126">
        <f>IF(OR($B$22=constants!$B$60,AND(I254&gt;$B$12,$B$12&lt;&gt;-1)),O253+(N254-O253)*$O$74,O253+(L254-O253)*$O$74)</f>
        <v>2.4</v>
      </c>
      <c r="P254" s="126">
        <f t="shared" si="55"/>
        <v>2.38</v>
      </c>
      <c r="Q254" s="123">
        <f t="shared" si="72"/>
        <v>2</v>
      </c>
      <c r="R254" s="123">
        <f t="shared" si="62"/>
        <v>2</v>
      </c>
      <c r="S254" s="3">
        <f t="shared" si="70"/>
        <v>0</v>
      </c>
      <c r="T254" s="3">
        <f t="shared" si="70"/>
        <v>0</v>
      </c>
      <c r="U254" s="3">
        <f t="shared" si="70"/>
        <v>0</v>
      </c>
      <c r="V254" s="3">
        <f t="shared" si="63"/>
        <v>0</v>
      </c>
      <c r="W254" s="3">
        <f t="shared" si="64"/>
        <v>0</v>
      </c>
      <c r="X254" s="3">
        <f t="shared" si="65"/>
        <v>0</v>
      </c>
      <c r="Y254" s="3">
        <f t="shared" si="57"/>
        <v>0</v>
      </c>
      <c r="Z254" s="3">
        <f t="shared" si="58"/>
        <v>0</v>
      </c>
      <c r="AA254" s="3">
        <f t="shared" si="59"/>
        <v>0</v>
      </c>
    </row>
    <row r="255" spans="1:27" x14ac:dyDescent="0.25">
      <c r="A255" s="3">
        <f t="shared" si="54"/>
        <v>1</v>
      </c>
      <c r="B255" s="113">
        <f t="shared" si="60"/>
        <v>1.7900000000000014</v>
      </c>
      <c r="C255" s="117">
        <f t="shared" si="77"/>
        <v>2.9112399999999967</v>
      </c>
      <c r="D255" s="117">
        <f t="shared" si="78"/>
        <v>1.7125600000000052</v>
      </c>
      <c r="E255" s="117">
        <f t="shared" si="75"/>
        <v>3.8463700000000007</v>
      </c>
      <c r="F255" s="117">
        <f t="shared" si="73"/>
        <v>3.8613700000000009</v>
      </c>
      <c r="G255" s="117">
        <f t="shared" si="79"/>
        <v>3.0098000000000003</v>
      </c>
      <c r="H255" s="117">
        <f t="shared" si="74"/>
        <v>3.1129999999999995</v>
      </c>
      <c r="I255" s="116">
        <f>IF($B$7=constants!$C$60,G255,IF($B$8=constants!$C$60,C255,E255))</f>
        <v>2.9112399999999967</v>
      </c>
      <c r="J255" s="116">
        <f>IF($B$7=constants!$C$60,H255,IF($B$8=constants!$C$60,D255,F255))</f>
        <v>1.7125600000000052</v>
      </c>
      <c r="K255" s="121">
        <f t="shared" si="61"/>
        <v>1</v>
      </c>
      <c r="L255" s="10">
        <f t="shared" si="71"/>
        <v>2.9112399999999967</v>
      </c>
      <c r="M255" s="126">
        <f t="shared" si="76"/>
        <v>2.4</v>
      </c>
      <c r="N255" s="126">
        <f t="shared" si="50"/>
        <v>2.4</v>
      </c>
      <c r="O255" s="126">
        <f>IF(OR($B$22=constants!$B$60,AND(I255&gt;$B$12,$B$12&lt;&gt;-1)),O254+(N255-O254)*$O$74,O254+(L255-O254)*$O$74)</f>
        <v>2.4</v>
      </c>
      <c r="P255" s="126">
        <f t="shared" si="55"/>
        <v>2.38</v>
      </c>
      <c r="Q255" s="123">
        <f t="shared" si="72"/>
        <v>2</v>
      </c>
      <c r="R255" s="123">
        <f t="shared" si="62"/>
        <v>2</v>
      </c>
      <c r="S255" s="3">
        <f t="shared" si="70"/>
        <v>0</v>
      </c>
      <c r="T255" s="3">
        <f t="shared" si="70"/>
        <v>0</v>
      </c>
      <c r="U255" s="3">
        <f t="shared" si="70"/>
        <v>0</v>
      </c>
      <c r="V255" s="3">
        <f t="shared" si="63"/>
        <v>0</v>
      </c>
      <c r="W255" s="3">
        <f t="shared" si="64"/>
        <v>0</v>
      </c>
      <c r="X255" s="3">
        <f t="shared" si="65"/>
        <v>0</v>
      </c>
      <c r="Y255" s="3">
        <f t="shared" si="57"/>
        <v>0</v>
      </c>
      <c r="Z255" s="3">
        <f t="shared" si="58"/>
        <v>0</v>
      </c>
      <c r="AA255" s="3">
        <f t="shared" si="59"/>
        <v>0</v>
      </c>
    </row>
    <row r="256" spans="1:27" x14ac:dyDescent="0.25">
      <c r="A256" s="3">
        <f t="shared" si="54"/>
        <v>1</v>
      </c>
      <c r="B256" s="113">
        <f t="shared" si="60"/>
        <v>1.8000000000000014</v>
      </c>
      <c r="C256" s="117">
        <f t="shared" si="77"/>
        <v>2.8907999999999965</v>
      </c>
      <c r="D256" s="117">
        <f t="shared" si="78"/>
        <v>1.7492000000000054</v>
      </c>
      <c r="E256" s="117">
        <f t="shared" si="75"/>
        <v>3.8544000000000009</v>
      </c>
      <c r="F256" s="117">
        <f t="shared" si="73"/>
        <v>3.8694000000000011</v>
      </c>
      <c r="G256" s="117">
        <f t="shared" si="79"/>
        <v>3.0140000000000002</v>
      </c>
      <c r="H256" s="117">
        <f t="shared" si="74"/>
        <v>3.1129999999999995</v>
      </c>
      <c r="I256" s="116">
        <f>IF($B$7=constants!$C$60,G256,IF($B$8=constants!$C$60,C256,E256))</f>
        <v>2.8907999999999965</v>
      </c>
      <c r="J256" s="116">
        <f>IF($B$7=constants!$C$60,H256,IF($B$8=constants!$C$60,D256,F256))</f>
        <v>1.7492000000000054</v>
      </c>
      <c r="K256" s="121">
        <f t="shared" si="61"/>
        <v>1</v>
      </c>
      <c r="L256" s="10">
        <f t="shared" si="71"/>
        <v>2.8907999999999965</v>
      </c>
      <c r="M256" s="126">
        <f t="shared" si="76"/>
        <v>2.4</v>
      </c>
      <c r="N256" s="126">
        <f t="shared" si="50"/>
        <v>2.4</v>
      </c>
      <c r="O256" s="126">
        <f>IF(OR($B$22=constants!$B$60,AND(I256&gt;$B$12,$B$12&lt;&gt;-1)),O255+(N256-O255)*$O$74,O255+(L256-O255)*$O$74)</f>
        <v>2.4</v>
      </c>
      <c r="P256" s="126">
        <f t="shared" si="55"/>
        <v>2.38</v>
      </c>
      <c r="Q256" s="123">
        <f t="shared" si="72"/>
        <v>2</v>
      </c>
      <c r="R256" s="123">
        <f t="shared" si="62"/>
        <v>2</v>
      </c>
      <c r="S256" s="3">
        <f t="shared" si="70"/>
        <v>0</v>
      </c>
      <c r="T256" s="3">
        <f t="shared" si="70"/>
        <v>0</v>
      </c>
      <c r="U256" s="3">
        <f t="shared" si="70"/>
        <v>0</v>
      </c>
      <c r="V256" s="3">
        <f t="shared" si="63"/>
        <v>0</v>
      </c>
      <c r="W256" s="3">
        <f t="shared" si="64"/>
        <v>0</v>
      </c>
      <c r="X256" s="3">
        <f t="shared" si="65"/>
        <v>0</v>
      </c>
      <c r="Y256" s="3">
        <f t="shared" si="57"/>
        <v>0</v>
      </c>
      <c r="Z256" s="3">
        <f t="shared" si="58"/>
        <v>0</v>
      </c>
      <c r="AA256" s="3">
        <f t="shared" si="59"/>
        <v>0</v>
      </c>
    </row>
    <row r="257" spans="1:27" x14ac:dyDescent="0.25">
      <c r="A257" s="3">
        <f t="shared" si="54"/>
        <v>1</v>
      </c>
      <c r="B257" s="113">
        <f t="shared" si="60"/>
        <v>1.8100000000000014</v>
      </c>
      <c r="C257" s="117">
        <f t="shared" si="77"/>
        <v>2.8703599999999967</v>
      </c>
      <c r="D257" s="117">
        <f t="shared" si="78"/>
        <v>1.7858400000000056</v>
      </c>
      <c r="E257" s="117">
        <f t="shared" si="75"/>
        <v>3.8624300000000007</v>
      </c>
      <c r="F257" s="117">
        <f t="shared" si="73"/>
        <v>3.8774300000000008</v>
      </c>
      <c r="G257" s="117">
        <f t="shared" si="79"/>
        <v>3.0182000000000002</v>
      </c>
      <c r="H257" s="117">
        <f t="shared" si="74"/>
        <v>3.1129999999999995</v>
      </c>
      <c r="I257" s="116">
        <f>IF($B$7=constants!$C$60,G257,IF($B$8=constants!$C$60,C257,E257))</f>
        <v>2.8703599999999967</v>
      </c>
      <c r="J257" s="116">
        <f>IF($B$7=constants!$C$60,H257,IF($B$8=constants!$C$60,D257,F257))</f>
        <v>1.7858400000000056</v>
      </c>
      <c r="K257" s="121">
        <f t="shared" si="61"/>
        <v>1</v>
      </c>
      <c r="L257" s="10">
        <f t="shared" si="71"/>
        <v>2.8703599999999967</v>
      </c>
      <c r="M257" s="126">
        <f t="shared" si="76"/>
        <v>2.4</v>
      </c>
      <c r="N257" s="126">
        <f t="shared" si="50"/>
        <v>2.4</v>
      </c>
      <c r="O257" s="126">
        <f>IF(OR($B$22=constants!$B$60,AND(I257&gt;$B$12,$B$12&lt;&gt;-1)),O256+(N257-O256)*$O$74,O256+(L257-O256)*$O$74)</f>
        <v>2.4</v>
      </c>
      <c r="P257" s="126">
        <f t="shared" si="55"/>
        <v>2.38</v>
      </c>
      <c r="Q257" s="123">
        <f t="shared" si="72"/>
        <v>2</v>
      </c>
      <c r="R257" s="123">
        <f t="shared" si="62"/>
        <v>2</v>
      </c>
      <c r="S257" s="3">
        <f t="shared" si="70"/>
        <v>0</v>
      </c>
      <c r="T257" s="3">
        <f t="shared" si="70"/>
        <v>0</v>
      </c>
      <c r="U257" s="3">
        <f t="shared" si="70"/>
        <v>0</v>
      </c>
      <c r="V257" s="3">
        <f t="shared" si="63"/>
        <v>0</v>
      </c>
      <c r="W257" s="3">
        <f t="shared" si="64"/>
        <v>0</v>
      </c>
      <c r="X257" s="3">
        <f t="shared" si="65"/>
        <v>0</v>
      </c>
      <c r="Y257" s="3">
        <f t="shared" si="57"/>
        <v>0</v>
      </c>
      <c r="Z257" s="3">
        <f t="shared" si="58"/>
        <v>0</v>
      </c>
      <c r="AA257" s="3">
        <f t="shared" si="59"/>
        <v>0</v>
      </c>
    </row>
    <row r="258" spans="1:27" x14ac:dyDescent="0.25">
      <c r="A258" s="3">
        <f t="shared" si="54"/>
        <v>1</v>
      </c>
      <c r="B258" s="113">
        <f t="shared" si="60"/>
        <v>1.8200000000000014</v>
      </c>
      <c r="C258" s="117">
        <f t="shared" si="77"/>
        <v>2.8499199999999965</v>
      </c>
      <c r="D258" s="117">
        <f t="shared" si="78"/>
        <v>1.822480000000005</v>
      </c>
      <c r="E258" s="117">
        <f t="shared" si="75"/>
        <v>3.8704600000000009</v>
      </c>
      <c r="F258" s="117">
        <f t="shared" si="73"/>
        <v>3.885460000000001</v>
      </c>
      <c r="G258" s="117">
        <f t="shared" si="79"/>
        <v>3.0224000000000002</v>
      </c>
      <c r="H258" s="117">
        <f t="shared" si="74"/>
        <v>3.1129999999999995</v>
      </c>
      <c r="I258" s="116">
        <f>IF($B$7=constants!$C$60,G258,IF($B$8=constants!$C$60,C258,E258))</f>
        <v>2.8499199999999965</v>
      </c>
      <c r="J258" s="116">
        <f>IF($B$7=constants!$C$60,H258,IF($B$8=constants!$C$60,D258,F258))</f>
        <v>1.822480000000005</v>
      </c>
      <c r="K258" s="121">
        <f t="shared" si="61"/>
        <v>1</v>
      </c>
      <c r="L258" s="10">
        <f t="shared" si="71"/>
        <v>2.8499199999999965</v>
      </c>
      <c r="M258" s="126">
        <f t="shared" si="76"/>
        <v>2.4</v>
      </c>
      <c r="N258" s="126">
        <f t="shared" ref="N258:N321" si="80">IF(M258&gt;I258,L258,M258)</f>
        <v>2.4</v>
      </c>
      <c r="O258" s="126">
        <f>IF(OR($B$22=constants!$B$60,AND(I258&gt;$B$12,$B$12&lt;&gt;-1)),O257+(N258-O257)*$O$74,O257+(L258-O257)*$O$74)</f>
        <v>2.4</v>
      </c>
      <c r="P258" s="126">
        <f t="shared" si="55"/>
        <v>2.38</v>
      </c>
      <c r="Q258" s="123">
        <f t="shared" si="72"/>
        <v>2</v>
      </c>
      <c r="R258" s="123">
        <f t="shared" si="62"/>
        <v>2</v>
      </c>
      <c r="S258" s="3">
        <f t="shared" si="70"/>
        <v>0</v>
      </c>
      <c r="T258" s="3">
        <f t="shared" si="70"/>
        <v>0</v>
      </c>
      <c r="U258" s="3">
        <f t="shared" si="70"/>
        <v>0</v>
      </c>
      <c r="V258" s="3">
        <f t="shared" si="63"/>
        <v>0</v>
      </c>
      <c r="W258" s="3">
        <f t="shared" si="64"/>
        <v>0</v>
      </c>
      <c r="X258" s="3">
        <f t="shared" si="65"/>
        <v>0</v>
      </c>
      <c r="Y258" s="3">
        <f t="shared" si="57"/>
        <v>0</v>
      </c>
      <c r="Z258" s="3">
        <f t="shared" si="58"/>
        <v>0</v>
      </c>
      <c r="AA258" s="3">
        <f t="shared" si="59"/>
        <v>0</v>
      </c>
    </row>
    <row r="259" spans="1:27" x14ac:dyDescent="0.25">
      <c r="A259" s="3">
        <f t="shared" si="54"/>
        <v>1</v>
      </c>
      <c r="B259" s="113">
        <f t="shared" si="60"/>
        <v>1.8300000000000014</v>
      </c>
      <c r="C259" s="117">
        <f t="shared" si="77"/>
        <v>2.8294799999999967</v>
      </c>
      <c r="D259" s="117">
        <f t="shared" si="78"/>
        <v>1.8591200000000052</v>
      </c>
      <c r="E259" s="117">
        <f t="shared" si="75"/>
        <v>3.8784900000000011</v>
      </c>
      <c r="F259" s="117">
        <f t="shared" si="73"/>
        <v>3.8934900000000012</v>
      </c>
      <c r="G259" s="117">
        <f t="shared" si="79"/>
        <v>3.0266000000000002</v>
      </c>
      <c r="H259" s="117">
        <f t="shared" si="74"/>
        <v>3.1129999999999995</v>
      </c>
      <c r="I259" s="116">
        <f>IF($B$7=constants!$C$60,G259,IF($B$8=constants!$C$60,C259,E259))</f>
        <v>2.8294799999999967</v>
      </c>
      <c r="J259" s="116">
        <f>IF($B$7=constants!$C$60,H259,IF($B$8=constants!$C$60,D259,F259))</f>
        <v>1.8591200000000052</v>
      </c>
      <c r="K259" s="121">
        <f t="shared" si="61"/>
        <v>1</v>
      </c>
      <c r="L259" s="10">
        <f t="shared" si="71"/>
        <v>2.8294799999999967</v>
      </c>
      <c r="M259" s="126">
        <f t="shared" si="76"/>
        <v>2.4</v>
      </c>
      <c r="N259" s="126">
        <f t="shared" si="80"/>
        <v>2.4</v>
      </c>
      <c r="O259" s="126">
        <f>IF(OR($B$22=constants!$B$60,AND(I259&gt;$B$12,$B$12&lt;&gt;-1)),O258+(N259-O258)*$O$74,O258+(L259-O258)*$O$74)</f>
        <v>2.4</v>
      </c>
      <c r="P259" s="126">
        <f t="shared" si="55"/>
        <v>2.38</v>
      </c>
      <c r="Q259" s="123">
        <f t="shared" si="72"/>
        <v>2</v>
      </c>
      <c r="R259" s="123">
        <f t="shared" si="62"/>
        <v>2</v>
      </c>
      <c r="S259" s="3">
        <f t="shared" si="70"/>
        <v>0</v>
      </c>
      <c r="T259" s="3">
        <f t="shared" si="70"/>
        <v>0</v>
      </c>
      <c r="U259" s="3">
        <f t="shared" si="70"/>
        <v>0</v>
      </c>
      <c r="V259" s="3">
        <f t="shared" si="63"/>
        <v>0</v>
      </c>
      <c r="W259" s="3">
        <f t="shared" si="64"/>
        <v>0</v>
      </c>
      <c r="X259" s="3">
        <f t="shared" si="65"/>
        <v>0</v>
      </c>
      <c r="Y259" s="3">
        <f t="shared" si="57"/>
        <v>0</v>
      </c>
      <c r="Z259" s="3">
        <f t="shared" si="58"/>
        <v>0</v>
      </c>
      <c r="AA259" s="3">
        <f t="shared" si="59"/>
        <v>0</v>
      </c>
    </row>
    <row r="260" spans="1:27" x14ac:dyDescent="0.25">
      <c r="A260" s="3">
        <f t="shared" si="54"/>
        <v>1</v>
      </c>
      <c r="B260" s="113">
        <f t="shared" si="60"/>
        <v>1.8400000000000014</v>
      </c>
      <c r="C260" s="117">
        <f t="shared" si="77"/>
        <v>2.8090399999999964</v>
      </c>
      <c r="D260" s="117">
        <f t="shared" si="78"/>
        <v>1.8957600000000054</v>
      </c>
      <c r="E260" s="117">
        <f t="shared" si="75"/>
        <v>3.8865200000000009</v>
      </c>
      <c r="F260" s="117">
        <f t="shared" si="73"/>
        <v>3.901520000000001</v>
      </c>
      <c r="G260" s="117">
        <f t="shared" si="79"/>
        <v>3.0308000000000002</v>
      </c>
      <c r="H260" s="117">
        <f t="shared" si="74"/>
        <v>3.1129999999999995</v>
      </c>
      <c r="I260" s="116">
        <f>IF($B$7=constants!$C$60,G260,IF($B$8=constants!$C$60,C260,E260))</f>
        <v>2.8090399999999964</v>
      </c>
      <c r="J260" s="116">
        <f>IF($B$7=constants!$C$60,H260,IF($B$8=constants!$C$60,D260,F260))</f>
        <v>1.8957600000000054</v>
      </c>
      <c r="K260" s="121">
        <f t="shared" si="61"/>
        <v>1</v>
      </c>
      <c r="L260" s="10">
        <f t="shared" si="71"/>
        <v>2.8090399999999964</v>
      </c>
      <c r="M260" s="126">
        <f t="shared" si="76"/>
        <v>2.4</v>
      </c>
      <c r="N260" s="126">
        <f t="shared" si="80"/>
        <v>2.4</v>
      </c>
      <c r="O260" s="126">
        <f>IF(OR($B$22=constants!$B$60,AND(I260&gt;$B$12,$B$12&lt;&gt;-1)),O259+(N260-O259)*$O$74,O259+(L260-O259)*$O$74)</f>
        <v>2.4</v>
      </c>
      <c r="P260" s="126">
        <f t="shared" si="55"/>
        <v>2.38</v>
      </c>
      <c r="Q260" s="123">
        <f t="shared" si="72"/>
        <v>2</v>
      </c>
      <c r="R260" s="123">
        <f t="shared" si="62"/>
        <v>2</v>
      </c>
      <c r="S260" s="3">
        <f t="shared" si="70"/>
        <v>0</v>
      </c>
      <c r="T260" s="3">
        <f t="shared" si="70"/>
        <v>0</v>
      </c>
      <c r="U260" s="3">
        <f t="shared" si="70"/>
        <v>0</v>
      </c>
      <c r="V260" s="3">
        <f t="shared" si="63"/>
        <v>0</v>
      </c>
      <c r="W260" s="3">
        <f t="shared" si="64"/>
        <v>0</v>
      </c>
      <c r="X260" s="3">
        <f t="shared" si="65"/>
        <v>0</v>
      </c>
      <c r="Y260" s="3">
        <f t="shared" si="57"/>
        <v>0</v>
      </c>
      <c r="Z260" s="3">
        <f t="shared" si="58"/>
        <v>0</v>
      </c>
      <c r="AA260" s="3">
        <f t="shared" si="59"/>
        <v>0</v>
      </c>
    </row>
    <row r="261" spans="1:27" x14ac:dyDescent="0.25">
      <c r="A261" s="3">
        <f t="shared" si="54"/>
        <v>1</v>
      </c>
      <c r="B261" s="113">
        <f t="shared" si="60"/>
        <v>1.8500000000000014</v>
      </c>
      <c r="C261" s="117">
        <f t="shared" si="77"/>
        <v>2.7885999999999966</v>
      </c>
      <c r="D261" s="117">
        <f t="shared" si="78"/>
        <v>1.9324000000000057</v>
      </c>
      <c r="E261" s="117">
        <f t="shared" si="75"/>
        <v>3.8945500000000006</v>
      </c>
      <c r="F261" s="117">
        <f t="shared" si="73"/>
        <v>3.9095500000000007</v>
      </c>
      <c r="G261" s="117">
        <f t="shared" si="79"/>
        <v>3.0350000000000001</v>
      </c>
      <c r="H261" s="117">
        <f t="shared" si="74"/>
        <v>3.1129999999999995</v>
      </c>
      <c r="I261" s="116">
        <f>IF($B$7=constants!$C$60,G261,IF($B$8=constants!$C$60,C261,E261))</f>
        <v>2.7885999999999966</v>
      </c>
      <c r="J261" s="116">
        <f>IF($B$7=constants!$C$60,H261,IF($B$8=constants!$C$60,D261,F261))</f>
        <v>1.9324000000000057</v>
      </c>
      <c r="K261" s="121">
        <f t="shared" si="61"/>
        <v>1</v>
      </c>
      <c r="L261" s="10">
        <f t="shared" si="71"/>
        <v>2.7885999999999966</v>
      </c>
      <c r="M261" s="126">
        <f t="shared" si="76"/>
        <v>2.4</v>
      </c>
      <c r="N261" s="126">
        <f t="shared" si="80"/>
        <v>2.4</v>
      </c>
      <c r="O261" s="126">
        <f>IF(OR($B$22=constants!$B$60,AND(I261&gt;$B$12,$B$12&lt;&gt;-1)),O260+(N261-O260)*$O$74,O260+(L261-O260)*$O$74)</f>
        <v>2.4</v>
      </c>
      <c r="P261" s="126">
        <f t="shared" si="55"/>
        <v>2.38</v>
      </c>
      <c r="Q261" s="123">
        <f t="shared" si="72"/>
        <v>2</v>
      </c>
      <c r="R261" s="123">
        <f t="shared" si="62"/>
        <v>2</v>
      </c>
      <c r="S261" s="3">
        <f t="shared" si="70"/>
        <v>0</v>
      </c>
      <c r="T261" s="3">
        <f t="shared" si="70"/>
        <v>0</v>
      </c>
      <c r="U261" s="3">
        <f t="shared" si="70"/>
        <v>0</v>
      </c>
      <c r="V261" s="3">
        <f t="shared" si="63"/>
        <v>0</v>
      </c>
      <c r="W261" s="3">
        <f t="shared" si="64"/>
        <v>0</v>
      </c>
      <c r="X261" s="3">
        <f t="shared" si="65"/>
        <v>0</v>
      </c>
      <c r="Y261" s="3">
        <f t="shared" si="57"/>
        <v>0</v>
      </c>
      <c r="Z261" s="3">
        <f t="shared" si="58"/>
        <v>0</v>
      </c>
      <c r="AA261" s="3">
        <f t="shared" si="59"/>
        <v>0</v>
      </c>
    </row>
    <row r="262" spans="1:27" x14ac:dyDescent="0.25">
      <c r="A262" s="3">
        <f t="shared" si="54"/>
        <v>1</v>
      </c>
      <c r="B262" s="113">
        <f t="shared" si="60"/>
        <v>1.8600000000000014</v>
      </c>
      <c r="C262" s="117">
        <f t="shared" si="77"/>
        <v>2.7681599999999964</v>
      </c>
      <c r="D262" s="117">
        <f t="shared" si="78"/>
        <v>1.9690400000000059</v>
      </c>
      <c r="E262" s="117">
        <f t="shared" si="75"/>
        <v>3.9025800000000008</v>
      </c>
      <c r="F262" s="117">
        <f t="shared" si="73"/>
        <v>3.917580000000001</v>
      </c>
      <c r="G262" s="117">
        <f t="shared" si="79"/>
        <v>3.0392000000000001</v>
      </c>
      <c r="H262" s="117">
        <f t="shared" si="74"/>
        <v>3.1129999999999995</v>
      </c>
      <c r="I262" s="116">
        <f>IF($B$7=constants!$C$60,G262,IF($B$8=constants!$C$60,C262,E262))</f>
        <v>2.7681599999999964</v>
      </c>
      <c r="J262" s="116">
        <f>IF($B$7=constants!$C$60,H262,IF($B$8=constants!$C$60,D262,F262))</f>
        <v>1.9690400000000059</v>
      </c>
      <c r="K262" s="121">
        <f t="shared" si="61"/>
        <v>1</v>
      </c>
      <c r="L262" s="10">
        <f t="shared" si="71"/>
        <v>2.7681599999999964</v>
      </c>
      <c r="M262" s="126">
        <f t="shared" si="76"/>
        <v>2.4</v>
      </c>
      <c r="N262" s="126">
        <f t="shared" si="80"/>
        <v>2.4</v>
      </c>
      <c r="O262" s="126">
        <f>IF(OR($B$22=constants!$B$60,AND(I262&gt;$B$12,$B$12&lt;&gt;-1)),O261+(N262-O261)*$O$74,O261+(L262-O261)*$O$74)</f>
        <v>2.4</v>
      </c>
      <c r="P262" s="126">
        <f t="shared" si="55"/>
        <v>2.38</v>
      </c>
      <c r="Q262" s="123">
        <f t="shared" si="72"/>
        <v>2</v>
      </c>
      <c r="R262" s="123">
        <f t="shared" si="62"/>
        <v>2</v>
      </c>
      <c r="S262" s="3">
        <f t="shared" si="70"/>
        <v>0</v>
      </c>
      <c r="T262" s="3">
        <f t="shared" si="70"/>
        <v>0</v>
      </c>
      <c r="U262" s="3">
        <f t="shared" si="70"/>
        <v>0</v>
      </c>
      <c r="V262" s="3">
        <f t="shared" si="63"/>
        <v>0</v>
      </c>
      <c r="W262" s="3">
        <f t="shared" si="64"/>
        <v>0</v>
      </c>
      <c r="X262" s="3">
        <f t="shared" si="65"/>
        <v>0</v>
      </c>
      <c r="Y262" s="3">
        <f t="shared" si="57"/>
        <v>0</v>
      </c>
      <c r="Z262" s="3">
        <f t="shared" si="58"/>
        <v>0</v>
      </c>
      <c r="AA262" s="3">
        <f t="shared" si="59"/>
        <v>0</v>
      </c>
    </row>
    <row r="263" spans="1:27" x14ac:dyDescent="0.25">
      <c r="A263" s="3">
        <f t="shared" si="54"/>
        <v>1</v>
      </c>
      <c r="B263" s="113">
        <f t="shared" si="60"/>
        <v>1.8700000000000014</v>
      </c>
      <c r="C263" s="117">
        <f t="shared" si="77"/>
        <v>2.7477199999999966</v>
      </c>
      <c r="D263" s="117">
        <f t="shared" si="78"/>
        <v>2.0056800000000052</v>
      </c>
      <c r="E263" s="117">
        <f t="shared" si="75"/>
        <v>3.910610000000001</v>
      </c>
      <c r="F263" s="117">
        <f t="shared" si="73"/>
        <v>3.9256100000000012</v>
      </c>
      <c r="G263" s="117">
        <f t="shared" si="79"/>
        <v>3.0434000000000001</v>
      </c>
      <c r="H263" s="117">
        <f t="shared" si="74"/>
        <v>3.1129999999999995</v>
      </c>
      <c r="I263" s="116">
        <f>IF($B$7=constants!$C$60,G263,IF($B$8=constants!$C$60,C263,E263))</f>
        <v>2.7477199999999966</v>
      </c>
      <c r="J263" s="116">
        <f>IF($B$7=constants!$C$60,H263,IF($B$8=constants!$C$60,D263,F263))</f>
        <v>2.0056800000000052</v>
      </c>
      <c r="K263" s="121">
        <f t="shared" si="61"/>
        <v>1</v>
      </c>
      <c r="L263" s="10">
        <f t="shared" si="71"/>
        <v>2.7477199999999966</v>
      </c>
      <c r="M263" s="126">
        <f t="shared" si="76"/>
        <v>2.4</v>
      </c>
      <c r="N263" s="126">
        <f t="shared" si="80"/>
        <v>2.4</v>
      </c>
      <c r="O263" s="126">
        <f>IF(OR($B$22=constants!$B$60,AND(I263&gt;$B$12,$B$12&lt;&gt;-1)),O262+(N263-O262)*$O$74,O262+(L263-O262)*$O$74)</f>
        <v>2.4</v>
      </c>
      <c r="P263" s="126">
        <f t="shared" si="55"/>
        <v>2.38</v>
      </c>
      <c r="Q263" s="123">
        <f t="shared" si="72"/>
        <v>2</v>
      </c>
      <c r="R263" s="123">
        <f t="shared" si="62"/>
        <v>2</v>
      </c>
      <c r="S263" s="3">
        <f t="shared" si="70"/>
        <v>0</v>
      </c>
      <c r="T263" s="3">
        <f t="shared" si="70"/>
        <v>0</v>
      </c>
      <c r="U263" s="3">
        <f t="shared" si="70"/>
        <v>0</v>
      </c>
      <c r="V263" s="3">
        <f t="shared" si="63"/>
        <v>0</v>
      </c>
      <c r="W263" s="3">
        <f t="shared" si="64"/>
        <v>0</v>
      </c>
      <c r="X263" s="3">
        <f t="shared" si="65"/>
        <v>0</v>
      </c>
      <c r="Y263" s="3">
        <f t="shared" si="57"/>
        <v>0</v>
      </c>
      <c r="Z263" s="3">
        <f t="shared" si="58"/>
        <v>0</v>
      </c>
      <c r="AA263" s="3">
        <f t="shared" si="59"/>
        <v>0</v>
      </c>
    </row>
    <row r="264" spans="1:27" x14ac:dyDescent="0.25">
      <c r="A264" s="3">
        <f t="shared" si="54"/>
        <v>1</v>
      </c>
      <c r="B264" s="113">
        <f t="shared" si="60"/>
        <v>1.8800000000000014</v>
      </c>
      <c r="C264" s="117">
        <f t="shared" si="77"/>
        <v>2.7272799999999964</v>
      </c>
      <c r="D264" s="117">
        <f t="shared" si="78"/>
        <v>2.0423200000000055</v>
      </c>
      <c r="E264" s="117">
        <f t="shared" si="75"/>
        <v>3.9186400000000008</v>
      </c>
      <c r="F264" s="117">
        <f t="shared" si="73"/>
        <v>3.9336400000000009</v>
      </c>
      <c r="G264" s="117">
        <f t="shared" si="79"/>
        <v>3.0476000000000001</v>
      </c>
      <c r="H264" s="117">
        <f t="shared" si="74"/>
        <v>3.1129999999999995</v>
      </c>
      <c r="I264" s="116">
        <f>IF($B$7=constants!$C$60,G264,IF($B$8=constants!$C$60,C264,E264))</f>
        <v>2.7272799999999964</v>
      </c>
      <c r="J264" s="116">
        <f>IF($B$7=constants!$C$60,H264,IF($B$8=constants!$C$60,D264,F264))</f>
        <v>2.0423200000000055</v>
      </c>
      <c r="K264" s="121">
        <f t="shared" si="61"/>
        <v>1</v>
      </c>
      <c r="L264" s="10">
        <f t="shared" si="71"/>
        <v>2.7272799999999964</v>
      </c>
      <c r="M264" s="126">
        <f t="shared" si="76"/>
        <v>2.4</v>
      </c>
      <c r="N264" s="126">
        <f t="shared" si="80"/>
        <v>2.4</v>
      </c>
      <c r="O264" s="126">
        <f>IF(OR($B$22=constants!$B$60,AND(I264&gt;$B$12,$B$12&lt;&gt;-1)),O263+(N264-O263)*$O$74,O263+(L264-O263)*$O$74)</f>
        <v>2.4</v>
      </c>
      <c r="P264" s="126">
        <f t="shared" si="55"/>
        <v>2.38</v>
      </c>
      <c r="Q264" s="123">
        <f t="shared" si="72"/>
        <v>2</v>
      </c>
      <c r="R264" s="123">
        <f t="shared" si="62"/>
        <v>2</v>
      </c>
      <c r="S264" s="3">
        <f t="shared" si="70"/>
        <v>0</v>
      </c>
      <c r="T264" s="3">
        <f t="shared" si="70"/>
        <v>0</v>
      </c>
      <c r="U264" s="3">
        <f t="shared" si="70"/>
        <v>0</v>
      </c>
      <c r="V264" s="3">
        <f t="shared" si="63"/>
        <v>0</v>
      </c>
      <c r="W264" s="3">
        <f t="shared" si="64"/>
        <v>0</v>
      </c>
      <c r="X264" s="3">
        <f t="shared" si="65"/>
        <v>0</v>
      </c>
      <c r="Y264" s="3">
        <f t="shared" si="57"/>
        <v>0</v>
      </c>
      <c r="Z264" s="3">
        <f t="shared" si="58"/>
        <v>0</v>
      </c>
      <c r="AA264" s="3">
        <f t="shared" si="59"/>
        <v>0</v>
      </c>
    </row>
    <row r="265" spans="1:27" x14ac:dyDescent="0.25">
      <c r="A265" s="3">
        <f t="shared" si="54"/>
        <v>1</v>
      </c>
      <c r="B265" s="113">
        <f t="shared" si="60"/>
        <v>1.8900000000000015</v>
      </c>
      <c r="C265" s="117">
        <f t="shared" si="77"/>
        <v>2.7068399999999966</v>
      </c>
      <c r="D265" s="117">
        <f t="shared" si="78"/>
        <v>2.0789600000000057</v>
      </c>
      <c r="E265" s="117">
        <f t="shared" si="75"/>
        <v>3.9266700000000005</v>
      </c>
      <c r="F265" s="117">
        <f t="shared" si="73"/>
        <v>3.9416700000000007</v>
      </c>
      <c r="G265" s="117">
        <f t="shared" si="79"/>
        <v>3.0518000000000001</v>
      </c>
      <c r="H265" s="117">
        <f t="shared" si="74"/>
        <v>3.1129999999999995</v>
      </c>
      <c r="I265" s="116">
        <f>IF($B$7=constants!$C$60,G265,IF($B$8=constants!$C$60,C265,E265))</f>
        <v>2.7068399999999966</v>
      </c>
      <c r="J265" s="116">
        <f>IF($B$7=constants!$C$60,H265,IF($B$8=constants!$C$60,D265,F265))</f>
        <v>2.0789600000000057</v>
      </c>
      <c r="K265" s="121">
        <f t="shared" si="61"/>
        <v>1</v>
      </c>
      <c r="L265" s="10">
        <f t="shared" si="71"/>
        <v>2.7068399999999966</v>
      </c>
      <c r="M265" s="126">
        <f t="shared" si="76"/>
        <v>2.4</v>
      </c>
      <c r="N265" s="126">
        <f t="shared" si="80"/>
        <v>2.4</v>
      </c>
      <c r="O265" s="126">
        <f>IF(OR($B$22=constants!$B$60,AND(I265&gt;$B$12,$B$12&lt;&gt;-1)),O264+(N265-O264)*$O$74,O264+(L265-O264)*$O$74)</f>
        <v>2.4</v>
      </c>
      <c r="P265" s="126">
        <f t="shared" si="55"/>
        <v>2.38</v>
      </c>
      <c r="Q265" s="123">
        <f t="shared" si="72"/>
        <v>2</v>
      </c>
      <c r="R265" s="123">
        <f t="shared" si="62"/>
        <v>2</v>
      </c>
      <c r="S265" s="3">
        <f t="shared" si="70"/>
        <v>0</v>
      </c>
      <c r="T265" s="3">
        <f t="shared" si="70"/>
        <v>0</v>
      </c>
      <c r="U265" s="3">
        <f t="shared" si="70"/>
        <v>0</v>
      </c>
      <c r="V265" s="3">
        <f t="shared" si="63"/>
        <v>0</v>
      </c>
      <c r="W265" s="3">
        <f t="shared" si="64"/>
        <v>0</v>
      </c>
      <c r="X265" s="3">
        <f t="shared" si="65"/>
        <v>0</v>
      </c>
      <c r="Y265" s="3">
        <f t="shared" si="57"/>
        <v>0</v>
      </c>
      <c r="Z265" s="3">
        <f t="shared" si="58"/>
        <v>0</v>
      </c>
      <c r="AA265" s="3">
        <f t="shared" si="59"/>
        <v>0</v>
      </c>
    </row>
    <row r="266" spans="1:27" x14ac:dyDescent="0.25">
      <c r="A266" s="3">
        <f t="shared" si="54"/>
        <v>1</v>
      </c>
      <c r="B266" s="113">
        <f t="shared" si="60"/>
        <v>1.9000000000000015</v>
      </c>
      <c r="C266" s="117">
        <f t="shared" si="77"/>
        <v>2.6863999999999963</v>
      </c>
      <c r="D266" s="117">
        <f t="shared" si="78"/>
        <v>2.1156000000000059</v>
      </c>
      <c r="E266" s="117">
        <f t="shared" si="75"/>
        <v>3.9347000000000008</v>
      </c>
      <c r="F266" s="117">
        <f t="shared" si="73"/>
        <v>3.9497000000000009</v>
      </c>
      <c r="G266" s="117">
        <f t="shared" si="79"/>
        <v>3.056</v>
      </c>
      <c r="H266" s="117">
        <f t="shared" si="74"/>
        <v>3.1129999999999995</v>
      </c>
      <c r="I266" s="116">
        <f>IF($B$7=constants!$C$60,G266,IF($B$8=constants!$C$60,C266,E266))</f>
        <v>2.6863999999999963</v>
      </c>
      <c r="J266" s="116">
        <f>IF($B$7=constants!$C$60,H266,IF($B$8=constants!$C$60,D266,F266))</f>
        <v>2.1156000000000059</v>
      </c>
      <c r="K266" s="121">
        <f t="shared" si="61"/>
        <v>1</v>
      </c>
      <c r="L266" s="10">
        <f t="shared" si="71"/>
        <v>2.6863999999999963</v>
      </c>
      <c r="M266" s="126">
        <f t="shared" si="76"/>
        <v>2.4</v>
      </c>
      <c r="N266" s="126">
        <f t="shared" si="80"/>
        <v>2.4</v>
      </c>
      <c r="O266" s="126">
        <f>IF(OR($B$22=constants!$B$60,AND(I266&gt;$B$12,$B$12&lt;&gt;-1)),O265+(N266-O265)*$O$74,O265+(L266-O265)*$O$74)</f>
        <v>2.4</v>
      </c>
      <c r="P266" s="126">
        <f t="shared" si="55"/>
        <v>2.38</v>
      </c>
      <c r="Q266" s="123">
        <f t="shared" si="72"/>
        <v>2</v>
      </c>
      <c r="R266" s="123">
        <f t="shared" si="62"/>
        <v>2</v>
      </c>
      <c r="S266" s="3">
        <f t="shared" si="70"/>
        <v>0</v>
      </c>
      <c r="T266" s="3">
        <f t="shared" si="70"/>
        <v>0</v>
      </c>
      <c r="U266" s="3">
        <f t="shared" si="70"/>
        <v>0</v>
      </c>
      <c r="V266" s="3">
        <f t="shared" si="63"/>
        <v>0</v>
      </c>
      <c r="W266" s="3">
        <f t="shared" si="64"/>
        <v>0</v>
      </c>
      <c r="X266" s="3">
        <f t="shared" si="65"/>
        <v>0</v>
      </c>
      <c r="Y266" s="3">
        <f t="shared" si="57"/>
        <v>0</v>
      </c>
      <c r="Z266" s="3">
        <f t="shared" si="58"/>
        <v>0</v>
      </c>
      <c r="AA266" s="3">
        <f t="shared" si="59"/>
        <v>0</v>
      </c>
    </row>
    <row r="267" spans="1:27" x14ac:dyDescent="0.25">
      <c r="A267" s="3">
        <f t="shared" si="54"/>
        <v>1</v>
      </c>
      <c r="B267" s="113">
        <f t="shared" si="60"/>
        <v>1.9100000000000015</v>
      </c>
      <c r="C267" s="117">
        <f t="shared" si="77"/>
        <v>2.6659599999999966</v>
      </c>
      <c r="D267" s="117">
        <f t="shared" si="78"/>
        <v>2.1522400000000053</v>
      </c>
      <c r="E267" s="117">
        <f t="shared" si="75"/>
        <v>3.942730000000001</v>
      </c>
      <c r="F267" s="117">
        <f t="shared" si="73"/>
        <v>3.9577300000000011</v>
      </c>
      <c r="G267" s="117">
        <f t="shared" si="79"/>
        <v>3.0602</v>
      </c>
      <c r="H267" s="117">
        <f t="shared" si="74"/>
        <v>3.1129999999999995</v>
      </c>
      <c r="I267" s="116">
        <f>IF($B$7=constants!$C$60,G267,IF($B$8=constants!$C$60,C267,E267))</f>
        <v>2.6659599999999966</v>
      </c>
      <c r="J267" s="116">
        <f>IF($B$7=constants!$C$60,H267,IF($B$8=constants!$C$60,D267,F267))</f>
        <v>2.1522400000000053</v>
      </c>
      <c r="K267" s="121">
        <f t="shared" si="61"/>
        <v>1</v>
      </c>
      <c r="L267" s="10">
        <f t="shared" si="71"/>
        <v>2.6659599999999966</v>
      </c>
      <c r="M267" s="126">
        <f t="shared" si="76"/>
        <v>2.4</v>
      </c>
      <c r="N267" s="126">
        <f t="shared" si="80"/>
        <v>2.4</v>
      </c>
      <c r="O267" s="126">
        <f>IF(OR($B$22=constants!$B$60,AND(I267&gt;$B$12,$B$12&lt;&gt;-1)),O266+(N267-O266)*$O$74,O266+(L267-O266)*$O$74)</f>
        <v>2.4</v>
      </c>
      <c r="P267" s="126">
        <f t="shared" si="55"/>
        <v>2.38</v>
      </c>
      <c r="Q267" s="123">
        <f t="shared" si="72"/>
        <v>2</v>
      </c>
      <c r="R267" s="123">
        <f t="shared" si="62"/>
        <v>2</v>
      </c>
      <c r="S267" s="3">
        <f t="shared" si="70"/>
        <v>0</v>
      </c>
      <c r="T267" s="3">
        <f t="shared" si="70"/>
        <v>0</v>
      </c>
      <c r="U267" s="3">
        <f t="shared" si="70"/>
        <v>0</v>
      </c>
      <c r="V267" s="3">
        <f t="shared" si="63"/>
        <v>0</v>
      </c>
      <c r="W267" s="3">
        <f t="shared" si="64"/>
        <v>0</v>
      </c>
      <c r="X267" s="3">
        <f t="shared" si="65"/>
        <v>0</v>
      </c>
      <c r="Y267" s="3">
        <f t="shared" si="57"/>
        <v>0</v>
      </c>
      <c r="Z267" s="3">
        <f t="shared" si="58"/>
        <v>0</v>
      </c>
      <c r="AA267" s="3">
        <f t="shared" si="59"/>
        <v>0</v>
      </c>
    </row>
    <row r="268" spans="1:27" x14ac:dyDescent="0.25">
      <c r="A268" s="3">
        <f t="shared" si="54"/>
        <v>1</v>
      </c>
      <c r="B268" s="113">
        <f t="shared" si="60"/>
        <v>1.9200000000000015</v>
      </c>
      <c r="C268" s="117">
        <f t="shared" si="77"/>
        <v>2.6455199999999963</v>
      </c>
      <c r="D268" s="117">
        <f t="shared" si="78"/>
        <v>2.1888800000000055</v>
      </c>
      <c r="E268" s="117">
        <f t="shared" si="75"/>
        <v>3.9507600000000007</v>
      </c>
      <c r="F268" s="117">
        <f t="shared" si="73"/>
        <v>3.9657600000000008</v>
      </c>
      <c r="G268" s="117">
        <f t="shared" si="79"/>
        <v>3.0644</v>
      </c>
      <c r="H268" s="117">
        <f t="shared" si="74"/>
        <v>3.1129999999999995</v>
      </c>
      <c r="I268" s="116">
        <f>IF($B$7=constants!$C$60,G268,IF($B$8=constants!$C$60,C268,E268))</f>
        <v>2.6455199999999963</v>
      </c>
      <c r="J268" s="116">
        <f>IF($B$7=constants!$C$60,H268,IF($B$8=constants!$C$60,D268,F268))</f>
        <v>2.1888800000000055</v>
      </c>
      <c r="K268" s="121">
        <f t="shared" si="61"/>
        <v>1</v>
      </c>
      <c r="L268" s="10">
        <f t="shared" si="71"/>
        <v>2.6455199999999963</v>
      </c>
      <c r="M268" s="126">
        <f t="shared" si="76"/>
        <v>2.4</v>
      </c>
      <c r="N268" s="126">
        <f t="shared" si="80"/>
        <v>2.4</v>
      </c>
      <c r="O268" s="126">
        <f>IF(OR($B$22=constants!$B$60,AND(I268&gt;$B$12,$B$12&lt;&gt;-1)),O267+(N268-O267)*$O$74,O267+(L268-O267)*$O$74)</f>
        <v>2.4</v>
      </c>
      <c r="P268" s="126">
        <f t="shared" si="55"/>
        <v>2.38</v>
      </c>
      <c r="Q268" s="123">
        <f t="shared" si="72"/>
        <v>2</v>
      </c>
      <c r="R268" s="123">
        <f t="shared" si="62"/>
        <v>2</v>
      </c>
      <c r="S268" s="3">
        <f t="shared" si="70"/>
        <v>0</v>
      </c>
      <c r="T268" s="3">
        <f t="shared" si="70"/>
        <v>0</v>
      </c>
      <c r="U268" s="3">
        <f t="shared" si="70"/>
        <v>0</v>
      </c>
      <c r="V268" s="3">
        <f t="shared" si="63"/>
        <v>0</v>
      </c>
      <c r="W268" s="3">
        <f t="shared" si="64"/>
        <v>0</v>
      </c>
      <c r="X268" s="3">
        <f t="shared" si="65"/>
        <v>0</v>
      </c>
      <c r="Y268" s="3">
        <f t="shared" si="57"/>
        <v>0</v>
      </c>
      <c r="Z268" s="3">
        <f t="shared" si="58"/>
        <v>0</v>
      </c>
      <c r="AA268" s="3">
        <f t="shared" si="59"/>
        <v>0</v>
      </c>
    </row>
    <row r="269" spans="1:27" x14ac:dyDescent="0.25">
      <c r="A269" s="3">
        <f t="shared" ref="A269:A332" si="81">IF(B269&lt;=100,1,IF(B269&lt;=200,2,3))</f>
        <v>1</v>
      </c>
      <c r="B269" s="113">
        <f t="shared" si="60"/>
        <v>1.9300000000000015</v>
      </c>
      <c r="C269" s="117">
        <f t="shared" si="77"/>
        <v>2.6250799999999961</v>
      </c>
      <c r="D269" s="117">
        <f t="shared" si="78"/>
        <v>2.2255200000000057</v>
      </c>
      <c r="E269" s="117">
        <f t="shared" si="75"/>
        <v>3.9587900000000009</v>
      </c>
      <c r="F269" s="117">
        <f t="shared" si="73"/>
        <v>3.973790000000001</v>
      </c>
      <c r="G269" s="117">
        <f t="shared" si="79"/>
        <v>3.0686</v>
      </c>
      <c r="H269" s="117">
        <f t="shared" si="74"/>
        <v>3.1129999999999995</v>
      </c>
      <c r="I269" s="116">
        <f>IF($B$7=constants!$C$60,G269,IF($B$8=constants!$C$60,C269,E269))</f>
        <v>2.6250799999999961</v>
      </c>
      <c r="J269" s="116">
        <f>IF($B$7=constants!$C$60,H269,IF($B$8=constants!$C$60,D269,F269))</f>
        <v>2.2255200000000057</v>
      </c>
      <c r="K269" s="121">
        <f t="shared" si="61"/>
        <v>1</v>
      </c>
      <c r="L269" s="10">
        <f t="shared" si="71"/>
        <v>2.6250799999999961</v>
      </c>
      <c r="M269" s="126">
        <f t="shared" si="76"/>
        <v>2.4</v>
      </c>
      <c r="N269" s="126">
        <f t="shared" si="80"/>
        <v>2.4</v>
      </c>
      <c r="O269" s="126">
        <f>IF(OR($B$22=constants!$B$60,AND(I269&gt;$B$12,$B$12&lt;&gt;-1)),O268+(N269-O268)*$O$74,O268+(L269-O268)*$O$74)</f>
        <v>2.4</v>
      </c>
      <c r="P269" s="126">
        <f t="shared" ref="P269:P332" si="82">IF(O269=0,0,O269-$P$72)</f>
        <v>2.38</v>
      </c>
      <c r="Q269" s="123">
        <f t="shared" si="72"/>
        <v>2</v>
      </c>
      <c r="R269" s="123">
        <f t="shared" si="62"/>
        <v>2</v>
      </c>
      <c r="S269" s="3">
        <f t="shared" ref="S269:U300" si="83">S$72*IF(S$71=0,$L269,IF(S$71=1,$R269,IF($B$12=-1,$L269,IF($I269&gt;$B$12,$R269,$L269))))</f>
        <v>0</v>
      </c>
      <c r="T269" s="3">
        <f t="shared" si="83"/>
        <v>0</v>
      </c>
      <c r="U269" s="3">
        <f t="shared" si="83"/>
        <v>0</v>
      </c>
      <c r="V269" s="3">
        <f t="shared" si="63"/>
        <v>0</v>
      </c>
      <c r="W269" s="3">
        <f t="shared" si="64"/>
        <v>0</v>
      </c>
      <c r="X269" s="3">
        <f t="shared" si="65"/>
        <v>0</v>
      </c>
      <c r="Y269" s="3">
        <f t="shared" ref="Y269:Y332" si="84">IF(V269=0,0,V269-Y$72)</f>
        <v>0</v>
      </c>
      <c r="Z269" s="3">
        <f t="shared" ref="Z269:Z332" si="85">IF(W269=0,0,W269-Z$72)</f>
        <v>0</v>
      </c>
      <c r="AA269" s="3">
        <f t="shared" ref="AA269:AA332" si="86">IF(X269=0,0,X269-AA$72)</f>
        <v>0</v>
      </c>
    </row>
    <row r="270" spans="1:27" x14ac:dyDescent="0.25">
      <c r="A270" s="3">
        <f t="shared" si="81"/>
        <v>1</v>
      </c>
      <c r="B270" s="113">
        <f t="shared" ref="B270:B333" si="87">B269+0.01</f>
        <v>1.9400000000000015</v>
      </c>
      <c r="C270" s="117">
        <f t="shared" si="77"/>
        <v>2.6046399999999963</v>
      </c>
      <c r="D270" s="117">
        <f t="shared" si="78"/>
        <v>2.2621600000000059</v>
      </c>
      <c r="E270" s="117">
        <f t="shared" si="75"/>
        <v>3.9668200000000011</v>
      </c>
      <c r="F270" s="117">
        <f t="shared" si="73"/>
        <v>3.9818200000000012</v>
      </c>
      <c r="G270" s="117">
        <f t="shared" si="79"/>
        <v>3.0728</v>
      </c>
      <c r="H270" s="117">
        <f t="shared" si="74"/>
        <v>3.1129999999999995</v>
      </c>
      <c r="I270" s="116">
        <f>IF($B$7=constants!$C$60,G270,IF($B$8=constants!$C$60,C270,E270))</f>
        <v>2.6046399999999963</v>
      </c>
      <c r="J270" s="116">
        <f>IF($B$7=constants!$C$60,H270,IF($B$8=constants!$C$60,D270,F270))</f>
        <v>2.2621600000000059</v>
      </c>
      <c r="K270" s="121">
        <f t="shared" ref="K270:K333" si="88">IF(AND(I270&gt;$B$16,K269=0),1,IF(AND(I270&lt;$B$17,K269=1),0,K269))</f>
        <v>1</v>
      </c>
      <c r="L270" s="10">
        <f t="shared" si="71"/>
        <v>2.6046399999999963</v>
      </c>
      <c r="M270" s="126">
        <f t="shared" si="76"/>
        <v>2.4</v>
      </c>
      <c r="N270" s="126">
        <f t="shared" si="80"/>
        <v>2.4</v>
      </c>
      <c r="O270" s="126">
        <f>IF(OR($B$22=constants!$B$60,AND(I270&gt;$B$12,$B$12&lt;&gt;-1)),O269+(N270-O269)*$O$74,O269+(L270-O269)*$O$74)</f>
        <v>2.4</v>
      </c>
      <c r="P270" s="126">
        <f t="shared" si="82"/>
        <v>2.38</v>
      </c>
      <c r="Q270" s="123">
        <f t="shared" si="72"/>
        <v>2</v>
      </c>
      <c r="R270" s="123">
        <f t="shared" ref="R270:R333" si="89">IF(Q270&gt;I270,I270,Q270)</f>
        <v>2</v>
      </c>
      <c r="S270" s="3">
        <f t="shared" si="83"/>
        <v>0</v>
      </c>
      <c r="T270" s="3">
        <f t="shared" si="83"/>
        <v>0</v>
      </c>
      <c r="U270" s="3">
        <f t="shared" si="83"/>
        <v>0</v>
      </c>
      <c r="V270" s="3">
        <f t="shared" ref="V270:V333" si="90">V269+(S270-V$72-V269)*V$74</f>
        <v>0</v>
      </c>
      <c r="W270" s="3">
        <f t="shared" ref="W270:W333" si="91">W269+(T270-W$72-W269)*W$74</f>
        <v>0</v>
      </c>
      <c r="X270" s="3">
        <f t="shared" ref="X270:X333" si="92">X269+(U270-X$72-X269)*X$74</f>
        <v>0</v>
      </c>
      <c r="Y270" s="3">
        <f t="shared" si="84"/>
        <v>0</v>
      </c>
      <c r="Z270" s="3">
        <f t="shared" si="85"/>
        <v>0</v>
      </c>
      <c r="AA270" s="3">
        <f t="shared" si="86"/>
        <v>0</v>
      </c>
    </row>
    <row r="271" spans="1:27" x14ac:dyDescent="0.25">
      <c r="A271" s="3">
        <f t="shared" si="81"/>
        <v>1</v>
      </c>
      <c r="B271" s="113">
        <f t="shared" si="87"/>
        <v>1.9500000000000015</v>
      </c>
      <c r="C271" s="117">
        <f t="shared" si="77"/>
        <v>2.5841999999999961</v>
      </c>
      <c r="D271" s="117">
        <f t="shared" si="78"/>
        <v>2.2988000000000062</v>
      </c>
      <c r="E271" s="117">
        <f t="shared" si="75"/>
        <v>3.9748500000000009</v>
      </c>
      <c r="F271" s="117">
        <f t="shared" si="73"/>
        <v>3.989850000000001</v>
      </c>
      <c r="G271" s="117">
        <f t="shared" si="79"/>
        <v>3.077</v>
      </c>
      <c r="H271" s="117">
        <f t="shared" si="74"/>
        <v>3.1129999999999995</v>
      </c>
      <c r="I271" s="116">
        <f>IF($B$7=constants!$C$60,G271,IF($B$8=constants!$C$60,C271,E271))</f>
        <v>2.5841999999999961</v>
      </c>
      <c r="J271" s="116">
        <f>IF($B$7=constants!$C$60,H271,IF($B$8=constants!$C$60,D271,F271))</f>
        <v>2.2988000000000062</v>
      </c>
      <c r="K271" s="121">
        <f t="shared" si="88"/>
        <v>1</v>
      </c>
      <c r="L271" s="10">
        <f t="shared" si="71"/>
        <v>2.5841999999999961</v>
      </c>
      <c r="M271" s="126">
        <f t="shared" si="76"/>
        <v>2.4</v>
      </c>
      <c r="N271" s="126">
        <f t="shared" si="80"/>
        <v>2.4</v>
      </c>
      <c r="O271" s="126">
        <f>IF(OR($B$22=constants!$B$60,AND(I271&gt;$B$12,$B$12&lt;&gt;-1)),O270+(N271-O270)*$O$74,O270+(L271-O270)*$O$74)</f>
        <v>2.4</v>
      </c>
      <c r="P271" s="126">
        <f t="shared" si="82"/>
        <v>2.38</v>
      </c>
      <c r="Q271" s="123">
        <f t="shared" si="72"/>
        <v>2</v>
      </c>
      <c r="R271" s="123">
        <f t="shared" si="89"/>
        <v>2</v>
      </c>
      <c r="S271" s="3">
        <f t="shared" si="83"/>
        <v>0</v>
      </c>
      <c r="T271" s="3">
        <f t="shared" si="83"/>
        <v>0</v>
      </c>
      <c r="U271" s="3">
        <f t="shared" si="83"/>
        <v>0</v>
      </c>
      <c r="V271" s="3">
        <f t="shared" si="90"/>
        <v>0</v>
      </c>
      <c r="W271" s="3">
        <f t="shared" si="91"/>
        <v>0</v>
      </c>
      <c r="X271" s="3">
        <f t="shared" si="92"/>
        <v>0</v>
      </c>
      <c r="Y271" s="3">
        <f t="shared" si="84"/>
        <v>0</v>
      </c>
      <c r="Z271" s="3">
        <f t="shared" si="85"/>
        <v>0</v>
      </c>
      <c r="AA271" s="3">
        <f t="shared" si="86"/>
        <v>0</v>
      </c>
    </row>
    <row r="272" spans="1:27" x14ac:dyDescent="0.25">
      <c r="A272" s="3">
        <f t="shared" si="81"/>
        <v>1</v>
      </c>
      <c r="B272" s="113">
        <f t="shared" si="87"/>
        <v>1.9600000000000015</v>
      </c>
      <c r="C272" s="117">
        <f t="shared" si="77"/>
        <v>2.5637599999999958</v>
      </c>
      <c r="D272" s="117">
        <f t="shared" si="78"/>
        <v>2.3354400000000055</v>
      </c>
      <c r="E272" s="117">
        <f t="shared" si="75"/>
        <v>3.9828800000000006</v>
      </c>
      <c r="F272" s="117">
        <f t="shared" si="73"/>
        <v>3.9978800000000008</v>
      </c>
      <c r="G272" s="117">
        <f t="shared" si="79"/>
        <v>3.0811999999999999</v>
      </c>
      <c r="H272" s="117">
        <f t="shared" si="74"/>
        <v>3.1129999999999995</v>
      </c>
      <c r="I272" s="116">
        <f>IF($B$7=constants!$C$60,G272,IF($B$8=constants!$C$60,C272,E272))</f>
        <v>2.5637599999999958</v>
      </c>
      <c r="J272" s="116">
        <f>IF($B$7=constants!$C$60,H272,IF($B$8=constants!$C$60,D272,F272))</f>
        <v>2.3354400000000055</v>
      </c>
      <c r="K272" s="121">
        <f t="shared" si="88"/>
        <v>1</v>
      </c>
      <c r="L272" s="10">
        <f t="shared" si="71"/>
        <v>2.5637599999999958</v>
      </c>
      <c r="M272" s="126">
        <f t="shared" si="76"/>
        <v>2.4</v>
      </c>
      <c r="N272" s="126">
        <f t="shared" si="80"/>
        <v>2.4</v>
      </c>
      <c r="O272" s="126">
        <f>IF(OR($B$22=constants!$B$60,AND(I272&gt;$B$12,$B$12&lt;&gt;-1)),O271+(N272-O271)*$O$74,O271+(L272-O271)*$O$74)</f>
        <v>2.4</v>
      </c>
      <c r="P272" s="126">
        <f t="shared" si="82"/>
        <v>2.38</v>
      </c>
      <c r="Q272" s="123">
        <f t="shared" si="72"/>
        <v>2</v>
      </c>
      <c r="R272" s="123">
        <f t="shared" si="89"/>
        <v>2</v>
      </c>
      <c r="S272" s="3">
        <f t="shared" si="83"/>
        <v>0</v>
      </c>
      <c r="T272" s="3">
        <f t="shared" si="83"/>
        <v>0</v>
      </c>
      <c r="U272" s="3">
        <f t="shared" si="83"/>
        <v>0</v>
      </c>
      <c r="V272" s="3">
        <f t="shared" si="90"/>
        <v>0</v>
      </c>
      <c r="W272" s="3">
        <f t="shared" si="91"/>
        <v>0</v>
      </c>
      <c r="X272" s="3">
        <f t="shared" si="92"/>
        <v>0</v>
      </c>
      <c r="Y272" s="3">
        <f t="shared" si="84"/>
        <v>0</v>
      </c>
      <c r="Z272" s="3">
        <f t="shared" si="85"/>
        <v>0</v>
      </c>
      <c r="AA272" s="3">
        <f t="shared" si="86"/>
        <v>0</v>
      </c>
    </row>
    <row r="273" spans="1:27" x14ac:dyDescent="0.25">
      <c r="A273" s="3">
        <f t="shared" si="81"/>
        <v>1</v>
      </c>
      <c r="B273" s="113">
        <f t="shared" si="87"/>
        <v>1.9700000000000015</v>
      </c>
      <c r="C273" s="117">
        <f t="shared" si="77"/>
        <v>2.543319999999996</v>
      </c>
      <c r="D273" s="117">
        <f t="shared" si="78"/>
        <v>2.3720800000000057</v>
      </c>
      <c r="E273" s="117">
        <f t="shared" si="75"/>
        <v>3.9909100000000008</v>
      </c>
      <c r="F273" s="117">
        <f t="shared" ref="F273:F304" si="93">E273+$F$74</f>
        <v>4.005910000000001</v>
      </c>
      <c r="G273" s="117">
        <f t="shared" si="79"/>
        <v>3.0853999999999999</v>
      </c>
      <c r="H273" s="117">
        <f t="shared" si="74"/>
        <v>3.1129999999999995</v>
      </c>
      <c r="I273" s="116">
        <f>IF($B$7=constants!$C$60,G273,IF($B$8=constants!$C$60,C273,E273))</f>
        <v>2.543319999999996</v>
      </c>
      <c r="J273" s="116">
        <f>IF($B$7=constants!$C$60,H273,IF($B$8=constants!$C$60,D273,F273))</f>
        <v>2.3720800000000057</v>
      </c>
      <c r="K273" s="121">
        <f t="shared" si="88"/>
        <v>1</v>
      </c>
      <c r="L273" s="10">
        <f t="shared" si="71"/>
        <v>2.543319999999996</v>
      </c>
      <c r="M273" s="126">
        <f t="shared" si="76"/>
        <v>2.4</v>
      </c>
      <c r="N273" s="126">
        <f t="shared" si="80"/>
        <v>2.4</v>
      </c>
      <c r="O273" s="126">
        <f>IF(OR($B$22=constants!$B$60,AND(I273&gt;$B$12,$B$12&lt;&gt;-1)),O272+(N273-O272)*$O$74,O272+(L273-O272)*$O$74)</f>
        <v>2.4</v>
      </c>
      <c r="P273" s="126">
        <f t="shared" si="82"/>
        <v>2.38</v>
      </c>
      <c r="Q273" s="123">
        <f t="shared" si="72"/>
        <v>2</v>
      </c>
      <c r="R273" s="123">
        <f t="shared" si="89"/>
        <v>2</v>
      </c>
      <c r="S273" s="3">
        <f t="shared" si="83"/>
        <v>0</v>
      </c>
      <c r="T273" s="3">
        <f t="shared" si="83"/>
        <v>0</v>
      </c>
      <c r="U273" s="3">
        <f t="shared" si="83"/>
        <v>0</v>
      </c>
      <c r="V273" s="3">
        <f t="shared" si="90"/>
        <v>0</v>
      </c>
      <c r="W273" s="3">
        <f t="shared" si="91"/>
        <v>0</v>
      </c>
      <c r="X273" s="3">
        <f t="shared" si="92"/>
        <v>0</v>
      </c>
      <c r="Y273" s="3">
        <f t="shared" si="84"/>
        <v>0</v>
      </c>
      <c r="Z273" s="3">
        <f t="shared" si="85"/>
        <v>0</v>
      </c>
      <c r="AA273" s="3">
        <f t="shared" si="86"/>
        <v>0</v>
      </c>
    </row>
    <row r="274" spans="1:27" x14ac:dyDescent="0.25">
      <c r="A274" s="3">
        <f t="shared" si="81"/>
        <v>1</v>
      </c>
      <c r="B274" s="113">
        <f t="shared" si="87"/>
        <v>1.9800000000000015</v>
      </c>
      <c r="C274" s="117">
        <f t="shared" si="77"/>
        <v>2.5228799999999962</v>
      </c>
      <c r="D274" s="117">
        <f t="shared" si="78"/>
        <v>2.408720000000006</v>
      </c>
      <c r="E274" s="117">
        <f t="shared" si="75"/>
        <v>3.998940000000001</v>
      </c>
      <c r="F274" s="117">
        <f t="shared" si="93"/>
        <v>4.0139400000000007</v>
      </c>
      <c r="G274" s="117">
        <f t="shared" si="79"/>
        <v>3.0895999999999999</v>
      </c>
      <c r="H274" s="117">
        <f t="shared" si="74"/>
        <v>3.1129999999999995</v>
      </c>
      <c r="I274" s="116">
        <f>IF($B$7=constants!$C$60,G274,IF($B$8=constants!$C$60,C274,E274))</f>
        <v>2.5228799999999962</v>
      </c>
      <c r="J274" s="116">
        <f>IF($B$7=constants!$C$60,H274,IF($B$8=constants!$C$60,D274,F274))</f>
        <v>2.408720000000006</v>
      </c>
      <c r="K274" s="121">
        <f t="shared" si="88"/>
        <v>1</v>
      </c>
      <c r="L274" s="10">
        <f t="shared" si="71"/>
        <v>2.5228799999999962</v>
      </c>
      <c r="M274" s="126">
        <f t="shared" si="76"/>
        <v>2.4</v>
      </c>
      <c r="N274" s="126">
        <f t="shared" si="80"/>
        <v>2.4</v>
      </c>
      <c r="O274" s="126">
        <f>IF(OR($B$22=constants!$B$60,AND(I274&gt;$B$12,$B$12&lt;&gt;-1)),O273+(N274-O273)*$O$74,O273+(L274-O273)*$O$74)</f>
        <v>2.4</v>
      </c>
      <c r="P274" s="126">
        <f t="shared" si="82"/>
        <v>2.38</v>
      </c>
      <c r="Q274" s="123">
        <f t="shared" si="72"/>
        <v>2</v>
      </c>
      <c r="R274" s="123">
        <f t="shared" si="89"/>
        <v>2</v>
      </c>
      <c r="S274" s="3">
        <f t="shared" si="83"/>
        <v>0</v>
      </c>
      <c r="T274" s="3">
        <f t="shared" si="83"/>
        <v>0</v>
      </c>
      <c r="U274" s="3">
        <f t="shared" si="83"/>
        <v>0</v>
      </c>
      <c r="V274" s="3">
        <f t="shared" si="90"/>
        <v>0</v>
      </c>
      <c r="W274" s="3">
        <f t="shared" si="91"/>
        <v>0</v>
      </c>
      <c r="X274" s="3">
        <f t="shared" si="92"/>
        <v>0</v>
      </c>
      <c r="Y274" s="3">
        <f t="shared" si="84"/>
        <v>0</v>
      </c>
      <c r="Z274" s="3">
        <f t="shared" si="85"/>
        <v>0</v>
      </c>
      <c r="AA274" s="3">
        <f t="shared" si="86"/>
        <v>0</v>
      </c>
    </row>
    <row r="275" spans="1:27" x14ac:dyDescent="0.25">
      <c r="A275" s="3">
        <f t="shared" si="81"/>
        <v>1</v>
      </c>
      <c r="B275" s="113">
        <f t="shared" si="87"/>
        <v>1.9900000000000015</v>
      </c>
      <c r="C275" s="117">
        <f t="shared" si="77"/>
        <v>2.5024399999999964</v>
      </c>
      <c r="D275" s="117">
        <f t="shared" si="78"/>
        <v>2.4453600000000062</v>
      </c>
      <c r="E275" s="117">
        <f t="shared" si="75"/>
        <v>4.0069700000000008</v>
      </c>
      <c r="F275" s="117">
        <f t="shared" si="93"/>
        <v>4.0219700000000005</v>
      </c>
      <c r="G275" s="117">
        <f t="shared" si="79"/>
        <v>3.0937999999999999</v>
      </c>
      <c r="H275" s="117">
        <f t="shared" si="74"/>
        <v>3.1129999999999995</v>
      </c>
      <c r="I275" s="116">
        <f>IF($B$7=constants!$C$60,G275,IF($B$8=constants!$C$60,C275,E275))</f>
        <v>2.5024399999999964</v>
      </c>
      <c r="J275" s="116">
        <f>IF($B$7=constants!$C$60,H275,IF($B$8=constants!$C$60,D275,F275))</f>
        <v>2.4453600000000062</v>
      </c>
      <c r="K275" s="121">
        <f t="shared" si="88"/>
        <v>1</v>
      </c>
      <c r="L275" s="10">
        <f t="shared" si="71"/>
        <v>2.5024399999999964</v>
      </c>
      <c r="M275" s="126">
        <f t="shared" si="76"/>
        <v>2.4</v>
      </c>
      <c r="N275" s="126">
        <f t="shared" si="80"/>
        <v>2.4</v>
      </c>
      <c r="O275" s="126">
        <f>IF(OR($B$22=constants!$B$60,AND(I275&gt;$B$12,$B$12&lt;&gt;-1)),O274+(N275-O274)*$O$74,O274+(L275-O274)*$O$74)</f>
        <v>2.4</v>
      </c>
      <c r="P275" s="126">
        <f t="shared" si="82"/>
        <v>2.38</v>
      </c>
      <c r="Q275" s="123">
        <f t="shared" si="72"/>
        <v>2</v>
      </c>
      <c r="R275" s="123">
        <f t="shared" si="89"/>
        <v>2</v>
      </c>
      <c r="S275" s="3">
        <f t="shared" si="83"/>
        <v>0</v>
      </c>
      <c r="T275" s="3">
        <f t="shared" si="83"/>
        <v>0</v>
      </c>
      <c r="U275" s="3">
        <f t="shared" si="83"/>
        <v>0</v>
      </c>
      <c r="V275" s="3">
        <f t="shared" si="90"/>
        <v>0</v>
      </c>
      <c r="W275" s="3">
        <f t="shared" si="91"/>
        <v>0</v>
      </c>
      <c r="X275" s="3">
        <f t="shared" si="92"/>
        <v>0</v>
      </c>
      <c r="Y275" s="3">
        <f t="shared" si="84"/>
        <v>0</v>
      </c>
      <c r="Z275" s="3">
        <f t="shared" si="85"/>
        <v>0</v>
      </c>
      <c r="AA275" s="3">
        <f t="shared" si="86"/>
        <v>0</v>
      </c>
    </row>
    <row r="276" spans="1:27" x14ac:dyDescent="0.25">
      <c r="A276" s="3">
        <f t="shared" si="81"/>
        <v>1</v>
      </c>
      <c r="B276" s="113">
        <f t="shared" si="87"/>
        <v>2.0000000000000013</v>
      </c>
      <c r="C276" s="117">
        <f>$D$29*B276+$D$30</f>
        <v>2.4820000000000082</v>
      </c>
      <c r="D276" s="117">
        <f t="shared" si="78"/>
        <v>2.4820000000000046</v>
      </c>
      <c r="E276" s="117">
        <f>$K$15*$B276+$K$16</f>
        <v>4.0149999999999997</v>
      </c>
      <c r="F276" s="117">
        <f t="shared" si="93"/>
        <v>4.0299999999999994</v>
      </c>
      <c r="G276" s="117">
        <f t="shared" si="79"/>
        <v>3.0979999999999999</v>
      </c>
      <c r="H276" s="117">
        <f t="shared" ref="H276:H307" si="94">$H$63*B276+$H$64</f>
        <v>3.1129999999999995</v>
      </c>
      <c r="I276" s="116">
        <f>IF($B$7=constants!$C$60,G276,IF($B$8=constants!$C$60,C276,E276))</f>
        <v>2.4820000000000082</v>
      </c>
      <c r="J276" s="116">
        <f>IF($B$7=constants!$C$60,H276,IF($B$8=constants!$C$60,D276,F276))</f>
        <v>2.4820000000000046</v>
      </c>
      <c r="K276" s="121">
        <f t="shared" si="88"/>
        <v>1</v>
      </c>
      <c r="L276" s="10">
        <f t="shared" si="71"/>
        <v>2.4820000000000082</v>
      </c>
      <c r="M276" s="126">
        <f t="shared" si="76"/>
        <v>2.4</v>
      </c>
      <c r="N276" s="126">
        <f t="shared" si="80"/>
        <v>2.4</v>
      </c>
      <c r="O276" s="126">
        <f>IF(OR($B$22=constants!$B$60,AND(I276&gt;$B$12,$B$12&lt;&gt;-1)),O275+(N276-O275)*$O$74,O275+(L276-O275)*$O$74)</f>
        <v>2.4</v>
      </c>
      <c r="P276" s="126">
        <f t="shared" si="82"/>
        <v>2.38</v>
      </c>
      <c r="Q276" s="123">
        <f t="shared" si="72"/>
        <v>2</v>
      </c>
      <c r="R276" s="123">
        <f t="shared" si="89"/>
        <v>2</v>
      </c>
      <c r="S276" s="3">
        <f t="shared" si="83"/>
        <v>0</v>
      </c>
      <c r="T276" s="3">
        <f t="shared" si="83"/>
        <v>0</v>
      </c>
      <c r="U276" s="3">
        <f t="shared" si="83"/>
        <v>0</v>
      </c>
      <c r="V276" s="3">
        <f t="shared" si="90"/>
        <v>0</v>
      </c>
      <c r="W276" s="3">
        <f t="shared" si="91"/>
        <v>0</v>
      </c>
      <c r="X276" s="3">
        <f t="shared" si="92"/>
        <v>0</v>
      </c>
      <c r="Y276" s="3">
        <f t="shared" si="84"/>
        <v>0</v>
      </c>
      <c r="Z276" s="3">
        <f t="shared" si="85"/>
        <v>0</v>
      </c>
      <c r="AA276" s="3">
        <f t="shared" si="86"/>
        <v>0</v>
      </c>
    </row>
    <row r="277" spans="1:27" x14ac:dyDescent="0.25">
      <c r="A277" s="3">
        <f t="shared" si="81"/>
        <v>1</v>
      </c>
      <c r="B277" s="113">
        <f t="shared" si="87"/>
        <v>2.0100000000000011</v>
      </c>
      <c r="C277" s="117">
        <f t="shared" ref="C277:C300" si="95">$D$29*B277+$D$30</f>
        <v>2.5433200000000067</v>
      </c>
      <c r="D277" s="117">
        <f t="shared" ref="D277:D308" si="96">C277+$D$74</f>
        <v>2.5583200000000068</v>
      </c>
      <c r="E277" s="117">
        <f t="shared" ref="E277:E325" si="97">$K$15*$B277+$K$16</f>
        <v>4.0135399999999999</v>
      </c>
      <c r="F277" s="117">
        <f t="shared" si="93"/>
        <v>4.0285399999999996</v>
      </c>
      <c r="G277" s="117">
        <f>(H277-$H$74)/(1-EXP(-1/G$74))*(1-EXP(-$B277/G$74))</f>
        <v>3.0969999999999991</v>
      </c>
      <c r="H277" s="117">
        <f t="shared" si="94"/>
        <v>3.1119999999999992</v>
      </c>
      <c r="I277" s="116">
        <f>IF($B$7=constants!$C$60,G277,IF($B$8=constants!$C$60,C277,E277))</f>
        <v>2.5433200000000067</v>
      </c>
      <c r="J277" s="116">
        <f>IF($B$7=constants!$C$60,H277,IF($B$8=constants!$C$60,D277,F277))</f>
        <v>2.5583200000000068</v>
      </c>
      <c r="K277" s="121">
        <f t="shared" si="88"/>
        <v>1</v>
      </c>
      <c r="L277" s="10">
        <f t="shared" si="71"/>
        <v>2.5433200000000067</v>
      </c>
      <c r="M277" s="126">
        <f t="shared" si="76"/>
        <v>2.4</v>
      </c>
      <c r="N277" s="126">
        <f t="shared" si="80"/>
        <v>2.4</v>
      </c>
      <c r="O277" s="126">
        <f>IF(OR($B$22=constants!$B$60,AND(I277&gt;$B$12,$B$12&lt;&gt;-1)),O276+(N277-O276)*$O$74,O276+(L277-O276)*$O$74)</f>
        <v>2.4</v>
      </c>
      <c r="P277" s="126">
        <f t="shared" si="82"/>
        <v>2.38</v>
      </c>
      <c r="Q277" s="123">
        <f t="shared" si="72"/>
        <v>2</v>
      </c>
      <c r="R277" s="123">
        <f t="shared" si="89"/>
        <v>2</v>
      </c>
      <c r="S277" s="3">
        <f t="shared" si="83"/>
        <v>0</v>
      </c>
      <c r="T277" s="3">
        <f t="shared" si="83"/>
        <v>0</v>
      </c>
      <c r="U277" s="3">
        <f t="shared" si="83"/>
        <v>0</v>
      </c>
      <c r="V277" s="3">
        <f t="shared" si="90"/>
        <v>0</v>
      </c>
      <c r="W277" s="3">
        <f t="shared" si="91"/>
        <v>0</v>
      </c>
      <c r="X277" s="3">
        <f t="shared" si="92"/>
        <v>0</v>
      </c>
      <c r="Y277" s="3">
        <f t="shared" si="84"/>
        <v>0</v>
      </c>
      <c r="Z277" s="3">
        <f t="shared" si="85"/>
        <v>0</v>
      </c>
      <c r="AA277" s="3">
        <f t="shared" si="86"/>
        <v>0</v>
      </c>
    </row>
    <row r="278" spans="1:27" x14ac:dyDescent="0.25">
      <c r="A278" s="3">
        <f t="shared" si="81"/>
        <v>1</v>
      </c>
      <c r="B278" s="113">
        <f t="shared" si="87"/>
        <v>2.0200000000000009</v>
      </c>
      <c r="C278" s="117">
        <f t="shared" si="95"/>
        <v>2.6046400000000052</v>
      </c>
      <c r="D278" s="117">
        <f t="shared" si="96"/>
        <v>2.6196400000000053</v>
      </c>
      <c r="E278" s="117">
        <f t="shared" si="97"/>
        <v>4.0120799999999992</v>
      </c>
      <c r="F278" s="117">
        <f t="shared" si="93"/>
        <v>4.0270799999999989</v>
      </c>
      <c r="G278" s="117">
        <f t="shared" ref="G278:G341" si="98">(H278-$H$74)/(1-EXP(-1/G$74))*(1-EXP(-$B278/G$74))</f>
        <v>3.0959999999999992</v>
      </c>
      <c r="H278" s="117">
        <f t="shared" si="94"/>
        <v>3.1109999999999993</v>
      </c>
      <c r="I278" s="116">
        <f>IF($B$7=constants!$C$60,G278,IF($B$8=constants!$C$60,C278,E278))</f>
        <v>2.6046400000000052</v>
      </c>
      <c r="J278" s="116">
        <f>IF($B$7=constants!$C$60,H278,IF($B$8=constants!$C$60,D278,F278))</f>
        <v>2.6196400000000053</v>
      </c>
      <c r="K278" s="121">
        <f t="shared" si="88"/>
        <v>1</v>
      </c>
      <c r="L278" s="10">
        <f t="shared" si="71"/>
        <v>2.6046400000000052</v>
      </c>
      <c r="M278" s="126">
        <f t="shared" si="76"/>
        <v>2.4</v>
      </c>
      <c r="N278" s="126">
        <f t="shared" si="80"/>
        <v>2.4</v>
      </c>
      <c r="O278" s="126">
        <f>IF(OR($B$22=constants!$B$60,AND(I278&gt;$B$12,$B$12&lt;&gt;-1)),O277+(N278-O277)*$O$74,O277+(L278-O277)*$O$74)</f>
        <v>2.4</v>
      </c>
      <c r="P278" s="126">
        <f t="shared" si="82"/>
        <v>2.38</v>
      </c>
      <c r="Q278" s="123">
        <f t="shared" si="72"/>
        <v>2</v>
      </c>
      <c r="R278" s="123">
        <f t="shared" si="89"/>
        <v>2</v>
      </c>
      <c r="S278" s="3">
        <f t="shared" si="83"/>
        <v>0</v>
      </c>
      <c r="T278" s="3">
        <f t="shared" si="83"/>
        <v>0</v>
      </c>
      <c r="U278" s="3">
        <f t="shared" si="83"/>
        <v>0</v>
      </c>
      <c r="V278" s="3">
        <f t="shared" si="90"/>
        <v>0</v>
      </c>
      <c r="W278" s="3">
        <f t="shared" si="91"/>
        <v>0</v>
      </c>
      <c r="X278" s="3">
        <f t="shared" si="92"/>
        <v>0</v>
      </c>
      <c r="Y278" s="3">
        <f t="shared" si="84"/>
        <v>0</v>
      </c>
      <c r="Z278" s="3">
        <f t="shared" si="85"/>
        <v>0</v>
      </c>
      <c r="AA278" s="3">
        <f t="shared" si="86"/>
        <v>0</v>
      </c>
    </row>
    <row r="279" spans="1:27" x14ac:dyDescent="0.25">
      <c r="A279" s="3">
        <f t="shared" si="81"/>
        <v>1</v>
      </c>
      <c r="B279" s="113">
        <f t="shared" si="87"/>
        <v>2.0300000000000007</v>
      </c>
      <c r="C279" s="117">
        <f t="shared" si="95"/>
        <v>2.6659600000000037</v>
      </c>
      <c r="D279" s="117">
        <f t="shared" si="96"/>
        <v>2.6809600000000038</v>
      </c>
      <c r="E279" s="117">
        <f t="shared" si="97"/>
        <v>4.0106199999999994</v>
      </c>
      <c r="F279" s="117">
        <f t="shared" si="93"/>
        <v>4.0256199999999991</v>
      </c>
      <c r="G279" s="117">
        <f t="shared" si="98"/>
        <v>3.0949999999999993</v>
      </c>
      <c r="H279" s="117">
        <f t="shared" si="94"/>
        <v>3.1099999999999994</v>
      </c>
      <c r="I279" s="116">
        <f>IF($B$7=constants!$C$60,G279,IF($B$8=constants!$C$60,C279,E279))</f>
        <v>2.6659600000000037</v>
      </c>
      <c r="J279" s="116">
        <f>IF($B$7=constants!$C$60,H279,IF($B$8=constants!$C$60,D279,F279))</f>
        <v>2.6809600000000038</v>
      </c>
      <c r="K279" s="121">
        <f t="shared" si="88"/>
        <v>1</v>
      </c>
      <c r="L279" s="10">
        <f t="shared" si="71"/>
        <v>2.6659600000000037</v>
      </c>
      <c r="M279" s="126">
        <f t="shared" si="76"/>
        <v>2.4</v>
      </c>
      <c r="N279" s="126">
        <f t="shared" si="80"/>
        <v>2.4</v>
      </c>
      <c r="O279" s="126">
        <f>IF(OR($B$22=constants!$B$60,AND(I279&gt;$B$12,$B$12&lt;&gt;-1)),O278+(N279-O278)*$O$74,O278+(L279-O278)*$O$74)</f>
        <v>2.4</v>
      </c>
      <c r="P279" s="126">
        <f t="shared" si="82"/>
        <v>2.38</v>
      </c>
      <c r="Q279" s="123">
        <f t="shared" si="72"/>
        <v>2</v>
      </c>
      <c r="R279" s="123">
        <f t="shared" si="89"/>
        <v>2</v>
      </c>
      <c r="S279" s="3">
        <f t="shared" si="83"/>
        <v>0</v>
      </c>
      <c r="T279" s="3">
        <f t="shared" si="83"/>
        <v>0</v>
      </c>
      <c r="U279" s="3">
        <f t="shared" si="83"/>
        <v>0</v>
      </c>
      <c r="V279" s="3">
        <f t="shared" si="90"/>
        <v>0</v>
      </c>
      <c r="W279" s="3">
        <f t="shared" si="91"/>
        <v>0</v>
      </c>
      <c r="X279" s="3">
        <f t="shared" si="92"/>
        <v>0</v>
      </c>
      <c r="Y279" s="3">
        <f t="shared" si="84"/>
        <v>0</v>
      </c>
      <c r="Z279" s="3">
        <f t="shared" si="85"/>
        <v>0</v>
      </c>
      <c r="AA279" s="3">
        <f t="shared" si="86"/>
        <v>0</v>
      </c>
    </row>
    <row r="280" spans="1:27" x14ac:dyDescent="0.25">
      <c r="A280" s="3">
        <f t="shared" si="81"/>
        <v>1</v>
      </c>
      <c r="B280" s="113">
        <f t="shared" si="87"/>
        <v>2.0400000000000005</v>
      </c>
      <c r="C280" s="117">
        <f t="shared" si="95"/>
        <v>2.7272800000000021</v>
      </c>
      <c r="D280" s="117">
        <f t="shared" si="96"/>
        <v>2.7422800000000023</v>
      </c>
      <c r="E280" s="117">
        <f t="shared" si="97"/>
        <v>4.0091599999999996</v>
      </c>
      <c r="F280" s="117">
        <f t="shared" si="93"/>
        <v>4.0241599999999993</v>
      </c>
      <c r="G280" s="117">
        <f t="shared" si="98"/>
        <v>3.0939999999999994</v>
      </c>
      <c r="H280" s="117">
        <f t="shared" si="94"/>
        <v>3.1089999999999995</v>
      </c>
      <c r="I280" s="116">
        <f>IF($B$7=constants!$C$60,G280,IF($B$8=constants!$C$60,C280,E280))</f>
        <v>2.7272800000000021</v>
      </c>
      <c r="J280" s="116">
        <f>IF($B$7=constants!$C$60,H280,IF($B$8=constants!$C$60,D280,F280))</f>
        <v>2.7422800000000023</v>
      </c>
      <c r="K280" s="121">
        <f t="shared" si="88"/>
        <v>1</v>
      </c>
      <c r="L280" s="10">
        <f t="shared" si="71"/>
        <v>2.7272800000000021</v>
      </c>
      <c r="M280" s="126">
        <f t="shared" si="76"/>
        <v>2.4</v>
      </c>
      <c r="N280" s="126">
        <f t="shared" si="80"/>
        <v>2.4</v>
      </c>
      <c r="O280" s="126">
        <f>IF(OR($B$22=constants!$B$60,AND(I280&gt;$B$12,$B$12&lt;&gt;-1)),O279+(N280-O279)*$O$74,O279+(L280-O279)*$O$74)</f>
        <v>2.4</v>
      </c>
      <c r="P280" s="126">
        <f t="shared" si="82"/>
        <v>2.38</v>
      </c>
      <c r="Q280" s="123">
        <f t="shared" si="72"/>
        <v>2</v>
      </c>
      <c r="R280" s="123">
        <f t="shared" si="89"/>
        <v>2</v>
      </c>
      <c r="S280" s="3">
        <f t="shared" si="83"/>
        <v>0</v>
      </c>
      <c r="T280" s="3">
        <f t="shared" si="83"/>
        <v>0</v>
      </c>
      <c r="U280" s="3">
        <f t="shared" si="83"/>
        <v>0</v>
      </c>
      <c r="V280" s="3">
        <f t="shared" si="90"/>
        <v>0</v>
      </c>
      <c r="W280" s="3">
        <f t="shared" si="91"/>
        <v>0</v>
      </c>
      <c r="X280" s="3">
        <f t="shared" si="92"/>
        <v>0</v>
      </c>
      <c r="Y280" s="3">
        <f t="shared" si="84"/>
        <v>0</v>
      </c>
      <c r="Z280" s="3">
        <f t="shared" si="85"/>
        <v>0</v>
      </c>
      <c r="AA280" s="3">
        <f t="shared" si="86"/>
        <v>0</v>
      </c>
    </row>
    <row r="281" spans="1:27" x14ac:dyDescent="0.25">
      <c r="A281" s="3">
        <f t="shared" si="81"/>
        <v>1</v>
      </c>
      <c r="B281" s="113">
        <f t="shared" si="87"/>
        <v>2.0500000000000003</v>
      </c>
      <c r="C281" s="117">
        <f t="shared" si="95"/>
        <v>2.7886000000000006</v>
      </c>
      <c r="D281" s="117">
        <f t="shared" si="96"/>
        <v>2.8036000000000008</v>
      </c>
      <c r="E281" s="117">
        <f t="shared" si="97"/>
        <v>4.0076999999999998</v>
      </c>
      <c r="F281" s="117">
        <f t="shared" si="93"/>
        <v>4.0226999999999995</v>
      </c>
      <c r="G281" s="117">
        <f t="shared" si="98"/>
        <v>3.0929999999999995</v>
      </c>
      <c r="H281" s="117">
        <f t="shared" si="94"/>
        <v>3.1079999999999997</v>
      </c>
      <c r="I281" s="116">
        <f>IF($B$7=constants!$C$60,G281,IF($B$8=constants!$C$60,C281,E281))</f>
        <v>2.7886000000000006</v>
      </c>
      <c r="J281" s="116">
        <f>IF($B$7=constants!$C$60,H281,IF($B$8=constants!$C$60,D281,F281))</f>
        <v>2.8036000000000008</v>
      </c>
      <c r="K281" s="121">
        <f t="shared" si="88"/>
        <v>1</v>
      </c>
      <c r="L281" s="10">
        <f t="shared" si="71"/>
        <v>2.7886000000000006</v>
      </c>
      <c r="M281" s="126">
        <f t="shared" si="76"/>
        <v>2.4</v>
      </c>
      <c r="N281" s="126">
        <f t="shared" si="80"/>
        <v>2.4</v>
      </c>
      <c r="O281" s="126">
        <f>IF(OR($B$22=constants!$B$60,AND(I281&gt;$B$12,$B$12&lt;&gt;-1)),O280+(N281-O280)*$O$74,O280+(L281-O280)*$O$74)</f>
        <v>2.4</v>
      </c>
      <c r="P281" s="126">
        <f t="shared" si="82"/>
        <v>2.38</v>
      </c>
      <c r="Q281" s="123">
        <f t="shared" si="72"/>
        <v>2</v>
      </c>
      <c r="R281" s="123">
        <f t="shared" si="89"/>
        <v>2</v>
      </c>
      <c r="S281" s="3">
        <f t="shared" si="83"/>
        <v>0</v>
      </c>
      <c r="T281" s="3">
        <f t="shared" si="83"/>
        <v>0</v>
      </c>
      <c r="U281" s="3">
        <f t="shared" si="83"/>
        <v>0</v>
      </c>
      <c r="V281" s="3">
        <f t="shared" si="90"/>
        <v>0</v>
      </c>
      <c r="W281" s="3">
        <f t="shared" si="91"/>
        <v>0</v>
      </c>
      <c r="X281" s="3">
        <f t="shared" si="92"/>
        <v>0</v>
      </c>
      <c r="Y281" s="3">
        <f t="shared" si="84"/>
        <v>0</v>
      </c>
      <c r="Z281" s="3">
        <f t="shared" si="85"/>
        <v>0</v>
      </c>
      <c r="AA281" s="3">
        <f t="shared" si="86"/>
        <v>0</v>
      </c>
    </row>
    <row r="282" spans="1:27" x14ac:dyDescent="0.25">
      <c r="A282" s="3">
        <f t="shared" si="81"/>
        <v>1</v>
      </c>
      <c r="B282" s="113">
        <f t="shared" si="87"/>
        <v>2.06</v>
      </c>
      <c r="C282" s="117">
        <f t="shared" si="95"/>
        <v>2.8499199999999991</v>
      </c>
      <c r="D282" s="117">
        <f t="shared" si="96"/>
        <v>2.8649199999999992</v>
      </c>
      <c r="E282" s="117">
        <f t="shared" si="97"/>
        <v>4.00624</v>
      </c>
      <c r="F282" s="117">
        <f t="shared" si="93"/>
        <v>4.0212399999999997</v>
      </c>
      <c r="G282" s="117">
        <f t="shared" si="98"/>
        <v>3.0919999999999992</v>
      </c>
      <c r="H282" s="117">
        <f t="shared" si="94"/>
        <v>3.1069999999999993</v>
      </c>
      <c r="I282" s="116">
        <f>IF($B$7=constants!$C$60,G282,IF($B$8=constants!$C$60,C282,E282))</f>
        <v>2.8499199999999991</v>
      </c>
      <c r="J282" s="116">
        <f>IF($B$7=constants!$C$60,H282,IF($B$8=constants!$C$60,D282,F282))</f>
        <v>2.8649199999999992</v>
      </c>
      <c r="K282" s="121">
        <f t="shared" si="88"/>
        <v>1</v>
      </c>
      <c r="L282" s="10">
        <f t="shared" si="71"/>
        <v>2.8499199999999991</v>
      </c>
      <c r="M282" s="126">
        <f t="shared" si="76"/>
        <v>2.4</v>
      </c>
      <c r="N282" s="126">
        <f t="shared" si="80"/>
        <v>2.4</v>
      </c>
      <c r="O282" s="126">
        <f>IF(OR($B$22=constants!$B$60,AND(I282&gt;$B$12,$B$12&lt;&gt;-1)),O281+(N282-O281)*$O$74,O281+(L282-O281)*$O$74)</f>
        <v>2.4</v>
      </c>
      <c r="P282" s="126">
        <f t="shared" si="82"/>
        <v>2.38</v>
      </c>
      <c r="Q282" s="123">
        <f t="shared" si="72"/>
        <v>2</v>
      </c>
      <c r="R282" s="123">
        <f t="shared" si="89"/>
        <v>2</v>
      </c>
      <c r="S282" s="3">
        <f t="shared" si="83"/>
        <v>0</v>
      </c>
      <c r="T282" s="3">
        <f t="shared" si="83"/>
        <v>0</v>
      </c>
      <c r="U282" s="3">
        <f t="shared" si="83"/>
        <v>0</v>
      </c>
      <c r="V282" s="3">
        <f t="shared" si="90"/>
        <v>0</v>
      </c>
      <c r="W282" s="3">
        <f t="shared" si="91"/>
        <v>0</v>
      </c>
      <c r="X282" s="3">
        <f t="shared" si="92"/>
        <v>0</v>
      </c>
      <c r="Y282" s="3">
        <f t="shared" si="84"/>
        <v>0</v>
      </c>
      <c r="Z282" s="3">
        <f t="shared" si="85"/>
        <v>0</v>
      </c>
      <c r="AA282" s="3">
        <f t="shared" si="86"/>
        <v>0</v>
      </c>
    </row>
    <row r="283" spans="1:27" x14ac:dyDescent="0.25">
      <c r="A283" s="3">
        <f t="shared" si="81"/>
        <v>1</v>
      </c>
      <c r="B283" s="113">
        <f t="shared" si="87"/>
        <v>2.0699999999999998</v>
      </c>
      <c r="C283" s="117">
        <f t="shared" si="95"/>
        <v>2.9112399999999976</v>
      </c>
      <c r="D283" s="117">
        <f t="shared" si="96"/>
        <v>2.9262399999999977</v>
      </c>
      <c r="E283" s="117">
        <f t="shared" si="97"/>
        <v>4.0047799999999993</v>
      </c>
      <c r="F283" s="117">
        <f t="shared" si="93"/>
        <v>4.019779999999999</v>
      </c>
      <c r="G283" s="117">
        <f t="shared" si="98"/>
        <v>3.0909999999999993</v>
      </c>
      <c r="H283" s="117">
        <f t="shared" si="94"/>
        <v>3.1059999999999994</v>
      </c>
      <c r="I283" s="116">
        <f>IF($B$7=constants!$C$60,G283,IF($B$8=constants!$C$60,C283,E283))</f>
        <v>2.9112399999999976</v>
      </c>
      <c r="J283" s="116">
        <f>IF($B$7=constants!$C$60,H283,IF($B$8=constants!$C$60,D283,F283))</f>
        <v>2.9262399999999977</v>
      </c>
      <c r="K283" s="121">
        <f t="shared" si="88"/>
        <v>1</v>
      </c>
      <c r="L283" s="10">
        <f t="shared" si="71"/>
        <v>2.9112399999999976</v>
      </c>
      <c r="M283" s="126">
        <f t="shared" si="76"/>
        <v>2.4</v>
      </c>
      <c r="N283" s="126">
        <f t="shared" si="80"/>
        <v>2.4</v>
      </c>
      <c r="O283" s="126">
        <f>IF(OR($B$22=constants!$B$60,AND(I283&gt;$B$12,$B$12&lt;&gt;-1)),O282+(N283-O282)*$O$74,O282+(L283-O282)*$O$74)</f>
        <v>2.4</v>
      </c>
      <c r="P283" s="126">
        <f t="shared" si="82"/>
        <v>2.38</v>
      </c>
      <c r="Q283" s="123">
        <f t="shared" si="72"/>
        <v>2</v>
      </c>
      <c r="R283" s="123">
        <f t="shared" si="89"/>
        <v>2</v>
      </c>
      <c r="S283" s="3">
        <f t="shared" si="83"/>
        <v>0</v>
      </c>
      <c r="T283" s="3">
        <f t="shared" si="83"/>
        <v>0</v>
      </c>
      <c r="U283" s="3">
        <f t="shared" si="83"/>
        <v>0</v>
      </c>
      <c r="V283" s="3">
        <f t="shared" si="90"/>
        <v>0</v>
      </c>
      <c r="W283" s="3">
        <f t="shared" si="91"/>
        <v>0</v>
      </c>
      <c r="X283" s="3">
        <f t="shared" si="92"/>
        <v>0</v>
      </c>
      <c r="Y283" s="3">
        <f t="shared" si="84"/>
        <v>0</v>
      </c>
      <c r="Z283" s="3">
        <f t="shared" si="85"/>
        <v>0</v>
      </c>
      <c r="AA283" s="3">
        <f t="shared" si="86"/>
        <v>0</v>
      </c>
    </row>
    <row r="284" spans="1:27" x14ac:dyDescent="0.25">
      <c r="A284" s="3">
        <f t="shared" si="81"/>
        <v>1</v>
      </c>
      <c r="B284" s="113">
        <f t="shared" si="87"/>
        <v>2.0799999999999996</v>
      </c>
      <c r="C284" s="117">
        <f t="shared" si="95"/>
        <v>2.9725599999999979</v>
      </c>
      <c r="D284" s="117">
        <f t="shared" si="96"/>
        <v>2.987559999999998</v>
      </c>
      <c r="E284" s="117">
        <f t="shared" si="97"/>
        <v>4.0033199999999995</v>
      </c>
      <c r="F284" s="117">
        <f t="shared" si="93"/>
        <v>4.0183199999999992</v>
      </c>
      <c r="G284" s="117">
        <f t="shared" si="98"/>
        <v>3.0899999999999994</v>
      </c>
      <c r="H284" s="117">
        <f t="shared" si="94"/>
        <v>3.1049999999999995</v>
      </c>
      <c r="I284" s="116">
        <f>IF($B$7=constants!$C$60,G284,IF($B$8=constants!$C$60,C284,E284))</f>
        <v>2.9725599999999979</v>
      </c>
      <c r="J284" s="116">
        <f>IF($B$7=constants!$C$60,H284,IF($B$8=constants!$C$60,D284,F284))</f>
        <v>2.987559999999998</v>
      </c>
      <c r="K284" s="121">
        <f t="shared" si="88"/>
        <v>1</v>
      </c>
      <c r="L284" s="10">
        <f t="shared" si="71"/>
        <v>2.9725599999999979</v>
      </c>
      <c r="M284" s="126">
        <f t="shared" si="76"/>
        <v>2.4</v>
      </c>
      <c r="N284" s="126">
        <f t="shared" si="80"/>
        <v>2.4</v>
      </c>
      <c r="O284" s="126">
        <f>IF(OR($B$22=constants!$B$60,AND(I284&gt;$B$12,$B$12&lt;&gt;-1)),O283+(N284-O283)*$O$74,O283+(L284-O283)*$O$74)</f>
        <v>2.4</v>
      </c>
      <c r="P284" s="126">
        <f t="shared" si="82"/>
        <v>2.38</v>
      </c>
      <c r="Q284" s="123">
        <f t="shared" si="72"/>
        <v>2</v>
      </c>
      <c r="R284" s="123">
        <f t="shared" si="89"/>
        <v>2</v>
      </c>
      <c r="S284" s="3">
        <f t="shared" si="83"/>
        <v>0</v>
      </c>
      <c r="T284" s="3">
        <f t="shared" si="83"/>
        <v>0</v>
      </c>
      <c r="U284" s="3">
        <f t="shared" si="83"/>
        <v>0</v>
      </c>
      <c r="V284" s="3">
        <f t="shared" si="90"/>
        <v>0</v>
      </c>
      <c r="W284" s="3">
        <f t="shared" si="91"/>
        <v>0</v>
      </c>
      <c r="X284" s="3">
        <f t="shared" si="92"/>
        <v>0</v>
      </c>
      <c r="Y284" s="3">
        <f t="shared" si="84"/>
        <v>0</v>
      </c>
      <c r="Z284" s="3">
        <f t="shared" si="85"/>
        <v>0</v>
      </c>
      <c r="AA284" s="3">
        <f t="shared" si="86"/>
        <v>0</v>
      </c>
    </row>
    <row r="285" spans="1:27" x14ac:dyDescent="0.25">
      <c r="A285" s="3">
        <f t="shared" si="81"/>
        <v>1</v>
      </c>
      <c r="B285" s="113">
        <f t="shared" si="87"/>
        <v>2.0899999999999994</v>
      </c>
      <c r="C285" s="117">
        <f t="shared" si="95"/>
        <v>3.0338799999999964</v>
      </c>
      <c r="D285" s="117">
        <f t="shared" si="96"/>
        <v>3.0488799999999965</v>
      </c>
      <c r="E285" s="117">
        <f t="shared" si="97"/>
        <v>4.0018599999999998</v>
      </c>
      <c r="F285" s="117">
        <f t="shared" si="93"/>
        <v>4.0168599999999994</v>
      </c>
      <c r="G285" s="117">
        <f t="shared" si="98"/>
        <v>3.0889999999999995</v>
      </c>
      <c r="H285" s="117">
        <f t="shared" si="94"/>
        <v>3.1039999999999996</v>
      </c>
      <c r="I285" s="116">
        <f>IF($B$7=constants!$C$60,G285,IF($B$8=constants!$C$60,C285,E285))</f>
        <v>3.0338799999999964</v>
      </c>
      <c r="J285" s="116">
        <f>IF($B$7=constants!$C$60,H285,IF($B$8=constants!$C$60,D285,F285))</f>
        <v>3.0488799999999965</v>
      </c>
      <c r="K285" s="121">
        <f t="shared" si="88"/>
        <v>1</v>
      </c>
      <c r="L285" s="10">
        <f t="shared" si="71"/>
        <v>3.0338799999999964</v>
      </c>
      <c r="M285" s="126">
        <f t="shared" si="76"/>
        <v>2.4</v>
      </c>
      <c r="N285" s="126">
        <f t="shared" si="80"/>
        <v>2.4</v>
      </c>
      <c r="O285" s="126">
        <f>IF(OR($B$22=constants!$B$60,AND(I285&gt;$B$12,$B$12&lt;&gt;-1)),O284+(N285-O284)*$O$74,O284+(L285-O284)*$O$74)</f>
        <v>2.4</v>
      </c>
      <c r="P285" s="126">
        <f t="shared" si="82"/>
        <v>2.38</v>
      </c>
      <c r="Q285" s="123">
        <f t="shared" si="72"/>
        <v>2</v>
      </c>
      <c r="R285" s="123">
        <f t="shared" si="89"/>
        <v>2</v>
      </c>
      <c r="S285" s="3">
        <f t="shared" si="83"/>
        <v>0</v>
      </c>
      <c r="T285" s="3">
        <f t="shared" si="83"/>
        <v>0</v>
      </c>
      <c r="U285" s="3">
        <f t="shared" si="83"/>
        <v>0</v>
      </c>
      <c r="V285" s="3">
        <f t="shared" si="90"/>
        <v>0</v>
      </c>
      <c r="W285" s="3">
        <f t="shared" si="91"/>
        <v>0</v>
      </c>
      <c r="X285" s="3">
        <f t="shared" si="92"/>
        <v>0</v>
      </c>
      <c r="Y285" s="3">
        <f t="shared" si="84"/>
        <v>0</v>
      </c>
      <c r="Z285" s="3">
        <f t="shared" si="85"/>
        <v>0</v>
      </c>
      <c r="AA285" s="3">
        <f t="shared" si="86"/>
        <v>0</v>
      </c>
    </row>
    <row r="286" spans="1:27" x14ac:dyDescent="0.25">
      <c r="A286" s="3">
        <f t="shared" si="81"/>
        <v>1</v>
      </c>
      <c r="B286" s="113">
        <f t="shared" si="87"/>
        <v>2.0999999999999992</v>
      </c>
      <c r="C286" s="117">
        <f t="shared" si="95"/>
        <v>3.0951999999999948</v>
      </c>
      <c r="D286" s="117">
        <f t="shared" si="96"/>
        <v>3.110199999999995</v>
      </c>
      <c r="E286" s="117">
        <f t="shared" si="97"/>
        <v>4.0004</v>
      </c>
      <c r="F286" s="117">
        <f t="shared" si="93"/>
        <v>4.0153999999999996</v>
      </c>
      <c r="G286" s="117">
        <f t="shared" si="98"/>
        <v>3.0879999999999996</v>
      </c>
      <c r="H286" s="117">
        <f t="shared" si="94"/>
        <v>3.1029999999999998</v>
      </c>
      <c r="I286" s="116">
        <f>IF($B$7=constants!$C$60,G286,IF($B$8=constants!$C$60,C286,E286))</f>
        <v>3.0951999999999948</v>
      </c>
      <c r="J286" s="116">
        <f>IF($B$7=constants!$C$60,H286,IF($B$8=constants!$C$60,D286,F286))</f>
        <v>3.110199999999995</v>
      </c>
      <c r="K286" s="121">
        <f t="shared" si="88"/>
        <v>1</v>
      </c>
      <c r="L286" s="10">
        <f t="shared" si="71"/>
        <v>3.0951999999999948</v>
      </c>
      <c r="M286" s="126">
        <f t="shared" si="76"/>
        <v>2.4</v>
      </c>
      <c r="N286" s="126">
        <f t="shared" si="80"/>
        <v>2.4</v>
      </c>
      <c r="O286" s="126">
        <f>IF(OR($B$22=constants!$B$60,AND(I286&gt;$B$12,$B$12&lt;&gt;-1)),O285+(N286-O285)*$O$74,O285+(L286-O285)*$O$74)</f>
        <v>2.4</v>
      </c>
      <c r="P286" s="126">
        <f t="shared" si="82"/>
        <v>2.38</v>
      </c>
      <c r="Q286" s="123">
        <f t="shared" si="72"/>
        <v>2</v>
      </c>
      <c r="R286" s="123">
        <f t="shared" si="89"/>
        <v>2</v>
      </c>
      <c r="S286" s="3">
        <f t="shared" si="83"/>
        <v>0</v>
      </c>
      <c r="T286" s="3">
        <f t="shared" si="83"/>
        <v>0</v>
      </c>
      <c r="U286" s="3">
        <f t="shared" si="83"/>
        <v>0</v>
      </c>
      <c r="V286" s="3">
        <f t="shared" si="90"/>
        <v>0</v>
      </c>
      <c r="W286" s="3">
        <f t="shared" si="91"/>
        <v>0</v>
      </c>
      <c r="X286" s="3">
        <f t="shared" si="92"/>
        <v>0</v>
      </c>
      <c r="Y286" s="3">
        <f t="shared" si="84"/>
        <v>0</v>
      </c>
      <c r="Z286" s="3">
        <f t="shared" si="85"/>
        <v>0</v>
      </c>
      <c r="AA286" s="3">
        <f t="shared" si="86"/>
        <v>0</v>
      </c>
    </row>
    <row r="287" spans="1:27" x14ac:dyDescent="0.25">
      <c r="A287" s="3">
        <f t="shared" si="81"/>
        <v>1</v>
      </c>
      <c r="B287" s="113">
        <f t="shared" si="87"/>
        <v>2.109999999999999</v>
      </c>
      <c r="C287" s="117">
        <f t="shared" si="95"/>
        <v>3.1565199999999933</v>
      </c>
      <c r="D287" s="117">
        <f t="shared" si="96"/>
        <v>3.1715199999999935</v>
      </c>
      <c r="E287" s="117">
        <f t="shared" si="97"/>
        <v>3.9989399999999997</v>
      </c>
      <c r="F287" s="117">
        <f t="shared" si="93"/>
        <v>4.0139399999999998</v>
      </c>
      <c r="G287" s="117">
        <f t="shared" si="98"/>
        <v>3.0869999999999993</v>
      </c>
      <c r="H287" s="117">
        <f t="shared" si="94"/>
        <v>3.1019999999999994</v>
      </c>
      <c r="I287" s="116">
        <f>IF($B$7=constants!$C$60,G287,IF($B$8=constants!$C$60,C287,E287))</f>
        <v>3.1565199999999933</v>
      </c>
      <c r="J287" s="116">
        <f>IF($B$7=constants!$C$60,H287,IF($B$8=constants!$C$60,D287,F287))</f>
        <v>3.1715199999999935</v>
      </c>
      <c r="K287" s="121">
        <f t="shared" si="88"/>
        <v>1</v>
      </c>
      <c r="L287" s="10">
        <f t="shared" si="71"/>
        <v>3.1565199999999933</v>
      </c>
      <c r="M287" s="126">
        <f t="shared" si="76"/>
        <v>2.4</v>
      </c>
      <c r="N287" s="126">
        <f t="shared" si="80"/>
        <v>2.4</v>
      </c>
      <c r="O287" s="126">
        <f>IF(OR($B$22=constants!$B$60,AND(I287&gt;$B$12,$B$12&lt;&gt;-1)),O286+(N287-O286)*$O$74,O286+(L287-O286)*$O$74)</f>
        <v>2.4</v>
      </c>
      <c r="P287" s="126">
        <f t="shared" si="82"/>
        <v>2.38</v>
      </c>
      <c r="Q287" s="123">
        <f t="shared" si="72"/>
        <v>2</v>
      </c>
      <c r="R287" s="123">
        <f t="shared" si="89"/>
        <v>2</v>
      </c>
      <c r="S287" s="3">
        <f t="shared" si="83"/>
        <v>0</v>
      </c>
      <c r="T287" s="3">
        <f t="shared" si="83"/>
        <v>0</v>
      </c>
      <c r="U287" s="3">
        <f t="shared" si="83"/>
        <v>0</v>
      </c>
      <c r="V287" s="3">
        <f t="shared" si="90"/>
        <v>0</v>
      </c>
      <c r="W287" s="3">
        <f t="shared" si="91"/>
        <v>0</v>
      </c>
      <c r="X287" s="3">
        <f t="shared" si="92"/>
        <v>0</v>
      </c>
      <c r="Y287" s="3">
        <f t="shared" si="84"/>
        <v>0</v>
      </c>
      <c r="Z287" s="3">
        <f t="shared" si="85"/>
        <v>0</v>
      </c>
      <c r="AA287" s="3">
        <f t="shared" si="86"/>
        <v>0</v>
      </c>
    </row>
    <row r="288" spans="1:27" x14ac:dyDescent="0.25">
      <c r="A288" s="3">
        <f t="shared" si="81"/>
        <v>1</v>
      </c>
      <c r="B288" s="113">
        <f t="shared" si="87"/>
        <v>2.1199999999999988</v>
      </c>
      <c r="C288" s="117">
        <f t="shared" si="95"/>
        <v>3.2178399999999918</v>
      </c>
      <c r="D288" s="117">
        <f t="shared" si="96"/>
        <v>3.2328399999999919</v>
      </c>
      <c r="E288" s="117">
        <f t="shared" si="97"/>
        <v>3.9974799999999999</v>
      </c>
      <c r="F288" s="117">
        <f t="shared" si="93"/>
        <v>4.01248</v>
      </c>
      <c r="G288" s="117">
        <f t="shared" si="98"/>
        <v>3.0859999999999994</v>
      </c>
      <c r="H288" s="117">
        <f t="shared" si="94"/>
        <v>3.1009999999999995</v>
      </c>
      <c r="I288" s="116">
        <f>IF($B$7=constants!$C$60,G288,IF($B$8=constants!$C$60,C288,E288))</f>
        <v>3.2178399999999918</v>
      </c>
      <c r="J288" s="116">
        <f>IF($B$7=constants!$C$60,H288,IF($B$8=constants!$C$60,D288,F288))</f>
        <v>3.2328399999999919</v>
      </c>
      <c r="K288" s="121">
        <f t="shared" si="88"/>
        <v>1</v>
      </c>
      <c r="L288" s="10">
        <f t="shared" si="71"/>
        <v>3.2178399999999918</v>
      </c>
      <c r="M288" s="126">
        <f t="shared" si="76"/>
        <v>2.4</v>
      </c>
      <c r="N288" s="126">
        <f t="shared" si="80"/>
        <v>2.4</v>
      </c>
      <c r="O288" s="126">
        <f>IF(OR($B$22=constants!$B$60,AND(I288&gt;$B$12,$B$12&lt;&gt;-1)),O287+(N288-O287)*$O$74,O287+(L288-O287)*$O$74)</f>
        <v>2.4</v>
      </c>
      <c r="P288" s="126">
        <f t="shared" si="82"/>
        <v>2.38</v>
      </c>
      <c r="Q288" s="123">
        <f t="shared" si="72"/>
        <v>2</v>
      </c>
      <c r="R288" s="123">
        <f t="shared" si="89"/>
        <v>2</v>
      </c>
      <c r="S288" s="3">
        <f t="shared" si="83"/>
        <v>0</v>
      </c>
      <c r="T288" s="3">
        <f t="shared" si="83"/>
        <v>0</v>
      </c>
      <c r="U288" s="3">
        <f t="shared" si="83"/>
        <v>0</v>
      </c>
      <c r="V288" s="3">
        <f t="shared" si="90"/>
        <v>0</v>
      </c>
      <c r="W288" s="3">
        <f t="shared" si="91"/>
        <v>0</v>
      </c>
      <c r="X288" s="3">
        <f t="shared" si="92"/>
        <v>0</v>
      </c>
      <c r="Y288" s="3">
        <f t="shared" si="84"/>
        <v>0</v>
      </c>
      <c r="Z288" s="3">
        <f t="shared" si="85"/>
        <v>0</v>
      </c>
      <c r="AA288" s="3">
        <f t="shared" si="86"/>
        <v>0</v>
      </c>
    </row>
    <row r="289" spans="1:27" x14ac:dyDescent="0.25">
      <c r="A289" s="3">
        <f t="shared" si="81"/>
        <v>1</v>
      </c>
      <c r="B289" s="113">
        <f t="shared" si="87"/>
        <v>2.1299999999999986</v>
      </c>
      <c r="C289" s="117">
        <f t="shared" si="95"/>
        <v>3.2791599999999903</v>
      </c>
      <c r="D289" s="117">
        <f t="shared" si="96"/>
        <v>3.2941599999999904</v>
      </c>
      <c r="E289" s="117">
        <f t="shared" si="97"/>
        <v>3.9960199999999997</v>
      </c>
      <c r="F289" s="117">
        <f t="shared" si="93"/>
        <v>4.0110199999999994</v>
      </c>
      <c r="G289" s="117">
        <f t="shared" si="98"/>
        <v>3.0849999999999995</v>
      </c>
      <c r="H289" s="117">
        <f t="shared" si="94"/>
        <v>3.0999999999999996</v>
      </c>
      <c r="I289" s="116">
        <f>IF($B$7=constants!$C$60,G289,IF($B$8=constants!$C$60,C289,E289))</f>
        <v>3.2791599999999903</v>
      </c>
      <c r="J289" s="116">
        <f>IF($B$7=constants!$C$60,H289,IF($B$8=constants!$C$60,D289,F289))</f>
        <v>3.2941599999999904</v>
      </c>
      <c r="K289" s="121">
        <f t="shared" si="88"/>
        <v>1</v>
      </c>
      <c r="L289" s="10">
        <f t="shared" si="71"/>
        <v>3.2791599999999903</v>
      </c>
      <c r="M289" s="126">
        <f t="shared" si="76"/>
        <v>2.4</v>
      </c>
      <c r="N289" s="126">
        <f t="shared" si="80"/>
        <v>2.4</v>
      </c>
      <c r="O289" s="126">
        <f>IF(OR($B$22=constants!$B$60,AND(I289&gt;$B$12,$B$12&lt;&gt;-1)),O288+(N289-O288)*$O$74,O288+(L289-O288)*$O$74)</f>
        <v>2.4</v>
      </c>
      <c r="P289" s="126">
        <f t="shared" si="82"/>
        <v>2.38</v>
      </c>
      <c r="Q289" s="123">
        <f t="shared" si="72"/>
        <v>2</v>
      </c>
      <c r="R289" s="123">
        <f t="shared" si="89"/>
        <v>2</v>
      </c>
      <c r="S289" s="3">
        <f t="shared" si="83"/>
        <v>0</v>
      </c>
      <c r="T289" s="3">
        <f t="shared" si="83"/>
        <v>0</v>
      </c>
      <c r="U289" s="3">
        <f t="shared" si="83"/>
        <v>0</v>
      </c>
      <c r="V289" s="3">
        <f t="shared" si="90"/>
        <v>0</v>
      </c>
      <c r="W289" s="3">
        <f t="shared" si="91"/>
        <v>0</v>
      </c>
      <c r="X289" s="3">
        <f t="shared" si="92"/>
        <v>0</v>
      </c>
      <c r="Y289" s="3">
        <f t="shared" si="84"/>
        <v>0</v>
      </c>
      <c r="Z289" s="3">
        <f t="shared" si="85"/>
        <v>0</v>
      </c>
      <c r="AA289" s="3">
        <f t="shared" si="86"/>
        <v>0</v>
      </c>
    </row>
    <row r="290" spans="1:27" x14ac:dyDescent="0.25">
      <c r="A290" s="3">
        <f t="shared" si="81"/>
        <v>1</v>
      </c>
      <c r="B290" s="113">
        <f t="shared" si="87"/>
        <v>2.1399999999999983</v>
      </c>
      <c r="C290" s="117">
        <f t="shared" si="95"/>
        <v>3.3404799999999888</v>
      </c>
      <c r="D290" s="117">
        <f t="shared" si="96"/>
        <v>3.3554799999999889</v>
      </c>
      <c r="E290" s="117">
        <f t="shared" si="97"/>
        <v>3.9945599999999999</v>
      </c>
      <c r="F290" s="117">
        <f t="shared" si="93"/>
        <v>4.0095599999999996</v>
      </c>
      <c r="G290" s="117">
        <f t="shared" si="98"/>
        <v>3.0839999999999996</v>
      </c>
      <c r="H290" s="117">
        <f t="shared" si="94"/>
        <v>3.0989999999999998</v>
      </c>
      <c r="I290" s="116">
        <f>IF($B$7=constants!$C$60,G290,IF($B$8=constants!$C$60,C290,E290))</f>
        <v>3.3404799999999888</v>
      </c>
      <c r="J290" s="116">
        <f>IF($B$7=constants!$C$60,H290,IF($B$8=constants!$C$60,D290,F290))</f>
        <v>3.3554799999999889</v>
      </c>
      <c r="K290" s="121">
        <f t="shared" si="88"/>
        <v>1</v>
      </c>
      <c r="L290" s="10">
        <f t="shared" si="71"/>
        <v>3.3404799999999888</v>
      </c>
      <c r="M290" s="126">
        <f t="shared" si="76"/>
        <v>2.4</v>
      </c>
      <c r="N290" s="126">
        <f t="shared" si="80"/>
        <v>2.4</v>
      </c>
      <c r="O290" s="126">
        <f>IF(OR($B$22=constants!$B$60,AND(I290&gt;$B$12,$B$12&lt;&gt;-1)),O289+(N290-O289)*$O$74,O289+(L290-O289)*$O$74)</f>
        <v>2.4</v>
      </c>
      <c r="P290" s="126">
        <f t="shared" si="82"/>
        <v>2.38</v>
      </c>
      <c r="Q290" s="123">
        <f t="shared" si="72"/>
        <v>2</v>
      </c>
      <c r="R290" s="123">
        <f t="shared" si="89"/>
        <v>2</v>
      </c>
      <c r="S290" s="3">
        <f t="shared" si="83"/>
        <v>0</v>
      </c>
      <c r="T290" s="3">
        <f t="shared" si="83"/>
        <v>0</v>
      </c>
      <c r="U290" s="3">
        <f t="shared" si="83"/>
        <v>0</v>
      </c>
      <c r="V290" s="3">
        <f t="shared" si="90"/>
        <v>0</v>
      </c>
      <c r="W290" s="3">
        <f t="shared" si="91"/>
        <v>0</v>
      </c>
      <c r="X290" s="3">
        <f t="shared" si="92"/>
        <v>0</v>
      </c>
      <c r="Y290" s="3">
        <f t="shared" si="84"/>
        <v>0</v>
      </c>
      <c r="Z290" s="3">
        <f t="shared" si="85"/>
        <v>0</v>
      </c>
      <c r="AA290" s="3">
        <f t="shared" si="86"/>
        <v>0</v>
      </c>
    </row>
    <row r="291" spans="1:27" x14ac:dyDescent="0.25">
      <c r="A291" s="3">
        <f t="shared" si="81"/>
        <v>1</v>
      </c>
      <c r="B291" s="113">
        <f t="shared" si="87"/>
        <v>2.1499999999999981</v>
      </c>
      <c r="C291" s="117">
        <f t="shared" si="95"/>
        <v>3.4017999999999873</v>
      </c>
      <c r="D291" s="117">
        <f t="shared" si="96"/>
        <v>3.4167999999999874</v>
      </c>
      <c r="E291" s="117">
        <f t="shared" si="97"/>
        <v>3.9931000000000001</v>
      </c>
      <c r="F291" s="117">
        <f t="shared" si="93"/>
        <v>4.0080999999999998</v>
      </c>
      <c r="G291" s="117">
        <f t="shared" si="98"/>
        <v>3.0829999999999997</v>
      </c>
      <c r="H291" s="117">
        <f t="shared" si="94"/>
        <v>3.0979999999999999</v>
      </c>
      <c r="I291" s="116">
        <f>IF($B$7=constants!$C$60,G291,IF($B$8=constants!$C$60,C291,E291))</f>
        <v>3.4017999999999873</v>
      </c>
      <c r="J291" s="116">
        <f>IF($B$7=constants!$C$60,H291,IF($B$8=constants!$C$60,D291,F291))</f>
        <v>3.4167999999999874</v>
      </c>
      <c r="K291" s="121">
        <f t="shared" si="88"/>
        <v>1</v>
      </c>
      <c r="L291" s="10">
        <f t="shared" si="71"/>
        <v>3.4017999999999873</v>
      </c>
      <c r="M291" s="126">
        <f t="shared" si="76"/>
        <v>2.4</v>
      </c>
      <c r="N291" s="126">
        <f t="shared" si="80"/>
        <v>2.4</v>
      </c>
      <c r="O291" s="126">
        <f>IF(OR($B$22=constants!$B$60,AND(I291&gt;$B$12,$B$12&lt;&gt;-1)),O290+(N291-O290)*$O$74,O290+(L291-O290)*$O$74)</f>
        <v>2.4</v>
      </c>
      <c r="P291" s="126">
        <f t="shared" si="82"/>
        <v>2.38</v>
      </c>
      <c r="Q291" s="123">
        <f t="shared" si="72"/>
        <v>2</v>
      </c>
      <c r="R291" s="123">
        <f t="shared" si="89"/>
        <v>2</v>
      </c>
      <c r="S291" s="3">
        <f t="shared" si="83"/>
        <v>0</v>
      </c>
      <c r="T291" s="3">
        <f t="shared" si="83"/>
        <v>0</v>
      </c>
      <c r="U291" s="3">
        <f t="shared" si="83"/>
        <v>0</v>
      </c>
      <c r="V291" s="3">
        <f t="shared" si="90"/>
        <v>0</v>
      </c>
      <c r="W291" s="3">
        <f t="shared" si="91"/>
        <v>0</v>
      </c>
      <c r="X291" s="3">
        <f t="shared" si="92"/>
        <v>0</v>
      </c>
      <c r="Y291" s="3">
        <f t="shared" si="84"/>
        <v>0</v>
      </c>
      <c r="Z291" s="3">
        <f t="shared" si="85"/>
        <v>0</v>
      </c>
      <c r="AA291" s="3">
        <f t="shared" si="86"/>
        <v>0</v>
      </c>
    </row>
    <row r="292" spans="1:27" x14ac:dyDescent="0.25">
      <c r="A292" s="3">
        <f t="shared" si="81"/>
        <v>1</v>
      </c>
      <c r="B292" s="113">
        <f t="shared" si="87"/>
        <v>2.1599999999999979</v>
      </c>
      <c r="C292" s="117">
        <f t="shared" si="95"/>
        <v>3.4631199999999858</v>
      </c>
      <c r="D292" s="117">
        <f t="shared" si="96"/>
        <v>3.4781199999999859</v>
      </c>
      <c r="E292" s="117">
        <f t="shared" si="97"/>
        <v>3.9916399999999999</v>
      </c>
      <c r="F292" s="117">
        <f t="shared" si="93"/>
        <v>4.00664</v>
      </c>
      <c r="G292" s="117">
        <f t="shared" si="98"/>
        <v>3.0819999999999994</v>
      </c>
      <c r="H292" s="117">
        <f t="shared" si="94"/>
        <v>3.0969999999999995</v>
      </c>
      <c r="I292" s="116">
        <f>IF($B$7=constants!$C$60,G292,IF($B$8=constants!$C$60,C292,E292))</f>
        <v>3.4631199999999858</v>
      </c>
      <c r="J292" s="116">
        <f>IF($B$7=constants!$C$60,H292,IF($B$8=constants!$C$60,D292,F292))</f>
        <v>3.4781199999999859</v>
      </c>
      <c r="K292" s="121">
        <f t="shared" si="88"/>
        <v>1</v>
      </c>
      <c r="L292" s="10">
        <f t="shared" si="71"/>
        <v>3.4631199999999858</v>
      </c>
      <c r="M292" s="126">
        <f t="shared" si="76"/>
        <v>2.4</v>
      </c>
      <c r="N292" s="126">
        <f t="shared" si="80"/>
        <v>2.4</v>
      </c>
      <c r="O292" s="126">
        <f>IF(OR($B$22=constants!$B$60,AND(I292&gt;$B$12,$B$12&lt;&gt;-1)),O291+(N292-O291)*$O$74,O291+(L292-O291)*$O$74)</f>
        <v>2.4</v>
      </c>
      <c r="P292" s="126">
        <f t="shared" si="82"/>
        <v>2.38</v>
      </c>
      <c r="Q292" s="123">
        <f t="shared" si="72"/>
        <v>2</v>
      </c>
      <c r="R292" s="123">
        <f t="shared" si="89"/>
        <v>2</v>
      </c>
      <c r="S292" s="3">
        <f t="shared" si="83"/>
        <v>0</v>
      </c>
      <c r="T292" s="3">
        <f t="shared" si="83"/>
        <v>0</v>
      </c>
      <c r="U292" s="3">
        <f t="shared" si="83"/>
        <v>0</v>
      </c>
      <c r="V292" s="3">
        <f t="shared" si="90"/>
        <v>0</v>
      </c>
      <c r="W292" s="3">
        <f t="shared" si="91"/>
        <v>0</v>
      </c>
      <c r="X292" s="3">
        <f t="shared" si="92"/>
        <v>0</v>
      </c>
      <c r="Y292" s="3">
        <f t="shared" si="84"/>
        <v>0</v>
      </c>
      <c r="Z292" s="3">
        <f t="shared" si="85"/>
        <v>0</v>
      </c>
      <c r="AA292" s="3">
        <f t="shared" si="86"/>
        <v>0</v>
      </c>
    </row>
    <row r="293" spans="1:27" x14ac:dyDescent="0.25">
      <c r="A293" s="3">
        <f t="shared" si="81"/>
        <v>1</v>
      </c>
      <c r="B293" s="113">
        <f t="shared" si="87"/>
        <v>2.1699999999999977</v>
      </c>
      <c r="C293" s="117">
        <f t="shared" si="95"/>
        <v>3.524439999999986</v>
      </c>
      <c r="D293" s="117">
        <f t="shared" si="96"/>
        <v>3.5394399999999862</v>
      </c>
      <c r="E293" s="117">
        <f t="shared" si="97"/>
        <v>3.9901800000000001</v>
      </c>
      <c r="F293" s="117">
        <f t="shared" si="93"/>
        <v>4.0051800000000002</v>
      </c>
      <c r="G293" s="117">
        <f t="shared" si="98"/>
        <v>3.0809999999999995</v>
      </c>
      <c r="H293" s="117">
        <f t="shared" si="94"/>
        <v>3.0959999999999996</v>
      </c>
      <c r="I293" s="116">
        <f>IF($B$7=constants!$C$60,G293,IF($B$8=constants!$C$60,C293,E293))</f>
        <v>3.524439999999986</v>
      </c>
      <c r="J293" s="116">
        <f>IF($B$7=constants!$C$60,H293,IF($B$8=constants!$C$60,D293,F293))</f>
        <v>3.5394399999999862</v>
      </c>
      <c r="K293" s="121">
        <f t="shared" si="88"/>
        <v>1</v>
      </c>
      <c r="L293" s="10">
        <f t="shared" si="71"/>
        <v>3.524439999999986</v>
      </c>
      <c r="M293" s="126">
        <f t="shared" si="76"/>
        <v>2.4</v>
      </c>
      <c r="N293" s="126">
        <f t="shared" si="80"/>
        <v>2.4</v>
      </c>
      <c r="O293" s="126">
        <f>IF(OR($B$22=constants!$B$60,AND(I293&gt;$B$12,$B$12&lt;&gt;-1)),O292+(N293-O292)*$O$74,O292+(L293-O292)*$O$74)</f>
        <v>2.4</v>
      </c>
      <c r="P293" s="126">
        <f t="shared" si="82"/>
        <v>2.38</v>
      </c>
      <c r="Q293" s="123">
        <f t="shared" si="72"/>
        <v>2</v>
      </c>
      <c r="R293" s="123">
        <f t="shared" si="89"/>
        <v>2</v>
      </c>
      <c r="S293" s="3">
        <f t="shared" si="83"/>
        <v>0</v>
      </c>
      <c r="T293" s="3">
        <f t="shared" si="83"/>
        <v>0</v>
      </c>
      <c r="U293" s="3">
        <f t="shared" si="83"/>
        <v>0</v>
      </c>
      <c r="V293" s="3">
        <f t="shared" si="90"/>
        <v>0</v>
      </c>
      <c r="W293" s="3">
        <f t="shared" si="91"/>
        <v>0</v>
      </c>
      <c r="X293" s="3">
        <f t="shared" si="92"/>
        <v>0</v>
      </c>
      <c r="Y293" s="3">
        <f t="shared" si="84"/>
        <v>0</v>
      </c>
      <c r="Z293" s="3">
        <f t="shared" si="85"/>
        <v>0</v>
      </c>
      <c r="AA293" s="3">
        <f t="shared" si="86"/>
        <v>0</v>
      </c>
    </row>
    <row r="294" spans="1:27" x14ac:dyDescent="0.25">
      <c r="A294" s="3">
        <f t="shared" si="81"/>
        <v>1</v>
      </c>
      <c r="B294" s="113">
        <f t="shared" si="87"/>
        <v>2.1799999999999975</v>
      </c>
      <c r="C294" s="117">
        <f t="shared" si="95"/>
        <v>3.5857599999999845</v>
      </c>
      <c r="D294" s="117">
        <f t="shared" si="96"/>
        <v>3.6007599999999846</v>
      </c>
      <c r="E294" s="117">
        <f t="shared" si="97"/>
        <v>3.9887199999999998</v>
      </c>
      <c r="F294" s="117">
        <f t="shared" si="93"/>
        <v>4.0037199999999995</v>
      </c>
      <c r="G294" s="117">
        <f t="shared" si="98"/>
        <v>3.0799999999999996</v>
      </c>
      <c r="H294" s="117">
        <f t="shared" si="94"/>
        <v>3.0949999999999998</v>
      </c>
      <c r="I294" s="116">
        <f>IF($B$7=constants!$C$60,G294,IF($B$8=constants!$C$60,C294,E294))</f>
        <v>3.5857599999999845</v>
      </c>
      <c r="J294" s="116">
        <f>IF($B$7=constants!$C$60,H294,IF($B$8=constants!$C$60,D294,F294))</f>
        <v>3.6007599999999846</v>
      </c>
      <c r="K294" s="121">
        <f t="shared" si="88"/>
        <v>1</v>
      </c>
      <c r="L294" s="10">
        <f t="shared" si="71"/>
        <v>3.5857599999999845</v>
      </c>
      <c r="M294" s="126">
        <f t="shared" si="76"/>
        <v>2.4</v>
      </c>
      <c r="N294" s="126">
        <f t="shared" si="80"/>
        <v>2.4</v>
      </c>
      <c r="O294" s="126">
        <f>IF(OR($B$22=constants!$B$60,AND(I294&gt;$B$12,$B$12&lt;&gt;-1)),O293+(N294-O293)*$O$74,O293+(L294-O293)*$O$74)</f>
        <v>2.4</v>
      </c>
      <c r="P294" s="126">
        <f t="shared" si="82"/>
        <v>2.38</v>
      </c>
      <c r="Q294" s="123">
        <f t="shared" si="72"/>
        <v>2</v>
      </c>
      <c r="R294" s="123">
        <f t="shared" si="89"/>
        <v>2</v>
      </c>
      <c r="S294" s="3">
        <f t="shared" si="83"/>
        <v>0</v>
      </c>
      <c r="T294" s="3">
        <f t="shared" si="83"/>
        <v>0</v>
      </c>
      <c r="U294" s="3">
        <f t="shared" si="83"/>
        <v>0</v>
      </c>
      <c r="V294" s="3">
        <f t="shared" si="90"/>
        <v>0</v>
      </c>
      <c r="W294" s="3">
        <f t="shared" si="91"/>
        <v>0</v>
      </c>
      <c r="X294" s="3">
        <f t="shared" si="92"/>
        <v>0</v>
      </c>
      <c r="Y294" s="3">
        <f t="shared" si="84"/>
        <v>0</v>
      </c>
      <c r="Z294" s="3">
        <f t="shared" si="85"/>
        <v>0</v>
      </c>
      <c r="AA294" s="3">
        <f t="shared" si="86"/>
        <v>0</v>
      </c>
    </row>
    <row r="295" spans="1:27" x14ac:dyDescent="0.25">
      <c r="A295" s="3">
        <f t="shared" si="81"/>
        <v>1</v>
      </c>
      <c r="B295" s="113">
        <f t="shared" si="87"/>
        <v>2.1899999999999973</v>
      </c>
      <c r="C295" s="117">
        <f t="shared" si="95"/>
        <v>3.647079999999983</v>
      </c>
      <c r="D295" s="117">
        <f t="shared" si="96"/>
        <v>3.6620799999999831</v>
      </c>
      <c r="E295" s="117">
        <f t="shared" si="97"/>
        <v>3.98726</v>
      </c>
      <c r="F295" s="117">
        <f t="shared" si="93"/>
        <v>4.0022599999999997</v>
      </c>
      <c r="G295" s="117">
        <f t="shared" si="98"/>
        <v>3.0789999999999997</v>
      </c>
      <c r="H295" s="117">
        <f t="shared" si="94"/>
        <v>3.0939999999999999</v>
      </c>
      <c r="I295" s="116">
        <f>IF($B$7=constants!$C$60,G295,IF($B$8=constants!$C$60,C295,E295))</f>
        <v>3.647079999999983</v>
      </c>
      <c r="J295" s="116">
        <f>IF($B$7=constants!$C$60,H295,IF($B$8=constants!$C$60,D295,F295))</f>
        <v>3.6620799999999831</v>
      </c>
      <c r="K295" s="121">
        <f t="shared" si="88"/>
        <v>1</v>
      </c>
      <c r="L295" s="10">
        <f t="shared" si="71"/>
        <v>3.647079999999983</v>
      </c>
      <c r="M295" s="126">
        <f t="shared" si="76"/>
        <v>2.4</v>
      </c>
      <c r="N295" s="126">
        <f t="shared" si="80"/>
        <v>2.4</v>
      </c>
      <c r="O295" s="126">
        <f>IF(OR($B$22=constants!$B$60,AND(I295&gt;$B$12,$B$12&lt;&gt;-1)),O294+(N295-O294)*$O$74,O294+(L295-O294)*$O$74)</f>
        <v>2.4</v>
      </c>
      <c r="P295" s="126">
        <f t="shared" si="82"/>
        <v>2.38</v>
      </c>
      <c r="Q295" s="123">
        <f t="shared" si="72"/>
        <v>2</v>
      </c>
      <c r="R295" s="123">
        <f t="shared" si="89"/>
        <v>2</v>
      </c>
      <c r="S295" s="3">
        <f t="shared" si="83"/>
        <v>0</v>
      </c>
      <c r="T295" s="3">
        <f t="shared" si="83"/>
        <v>0</v>
      </c>
      <c r="U295" s="3">
        <f t="shared" si="83"/>
        <v>0</v>
      </c>
      <c r="V295" s="3">
        <f t="shared" si="90"/>
        <v>0</v>
      </c>
      <c r="W295" s="3">
        <f t="shared" si="91"/>
        <v>0</v>
      </c>
      <c r="X295" s="3">
        <f t="shared" si="92"/>
        <v>0</v>
      </c>
      <c r="Y295" s="3">
        <f t="shared" si="84"/>
        <v>0</v>
      </c>
      <c r="Z295" s="3">
        <f t="shared" si="85"/>
        <v>0</v>
      </c>
      <c r="AA295" s="3">
        <f t="shared" si="86"/>
        <v>0</v>
      </c>
    </row>
    <row r="296" spans="1:27" x14ac:dyDescent="0.25">
      <c r="A296" s="3">
        <f t="shared" si="81"/>
        <v>1</v>
      </c>
      <c r="B296" s="113">
        <f t="shared" si="87"/>
        <v>2.1999999999999971</v>
      </c>
      <c r="C296" s="117">
        <f t="shared" si="95"/>
        <v>3.7083999999999815</v>
      </c>
      <c r="D296" s="117">
        <f t="shared" si="96"/>
        <v>3.7233999999999816</v>
      </c>
      <c r="E296" s="117">
        <f t="shared" si="97"/>
        <v>3.9858000000000002</v>
      </c>
      <c r="F296" s="117">
        <f t="shared" si="93"/>
        <v>4.0007999999999999</v>
      </c>
      <c r="G296" s="117">
        <f t="shared" si="98"/>
        <v>3.0779999999999998</v>
      </c>
      <c r="H296" s="117">
        <f t="shared" si="94"/>
        <v>3.093</v>
      </c>
      <c r="I296" s="116">
        <f>IF($B$7=constants!$C$60,G296,IF($B$8=constants!$C$60,C296,E296))</f>
        <v>3.7083999999999815</v>
      </c>
      <c r="J296" s="116">
        <f>IF($B$7=constants!$C$60,H296,IF($B$8=constants!$C$60,D296,F296))</f>
        <v>3.7233999999999816</v>
      </c>
      <c r="K296" s="121">
        <f t="shared" si="88"/>
        <v>1</v>
      </c>
      <c r="L296" s="10">
        <f t="shared" si="71"/>
        <v>3.7083999999999815</v>
      </c>
      <c r="M296" s="126">
        <f t="shared" si="76"/>
        <v>2.4</v>
      </c>
      <c r="N296" s="126">
        <f t="shared" si="80"/>
        <v>2.4</v>
      </c>
      <c r="O296" s="126">
        <f>IF(OR($B$22=constants!$B$60,AND(I296&gt;$B$12,$B$12&lt;&gt;-1)),O295+(N296-O295)*$O$74,O295+(L296-O295)*$O$74)</f>
        <v>2.4</v>
      </c>
      <c r="P296" s="126">
        <f t="shared" si="82"/>
        <v>2.38</v>
      </c>
      <c r="Q296" s="123">
        <f t="shared" si="72"/>
        <v>2</v>
      </c>
      <c r="R296" s="123">
        <f t="shared" si="89"/>
        <v>2</v>
      </c>
      <c r="S296" s="3">
        <f t="shared" si="83"/>
        <v>0</v>
      </c>
      <c r="T296" s="3">
        <f t="shared" si="83"/>
        <v>0</v>
      </c>
      <c r="U296" s="3">
        <f t="shared" si="83"/>
        <v>0</v>
      </c>
      <c r="V296" s="3">
        <f t="shared" si="90"/>
        <v>0</v>
      </c>
      <c r="W296" s="3">
        <f t="shared" si="91"/>
        <v>0</v>
      </c>
      <c r="X296" s="3">
        <f t="shared" si="92"/>
        <v>0</v>
      </c>
      <c r="Y296" s="3">
        <f t="shared" si="84"/>
        <v>0</v>
      </c>
      <c r="Z296" s="3">
        <f t="shared" si="85"/>
        <v>0</v>
      </c>
      <c r="AA296" s="3">
        <f t="shared" si="86"/>
        <v>0</v>
      </c>
    </row>
    <row r="297" spans="1:27" x14ac:dyDescent="0.25">
      <c r="A297" s="3">
        <f t="shared" si="81"/>
        <v>1</v>
      </c>
      <c r="B297" s="113">
        <f t="shared" si="87"/>
        <v>2.2099999999999969</v>
      </c>
      <c r="C297" s="117">
        <f t="shared" si="95"/>
        <v>3.76971999999998</v>
      </c>
      <c r="D297" s="117">
        <f t="shared" si="96"/>
        <v>3.7847199999999801</v>
      </c>
      <c r="E297" s="117">
        <f t="shared" si="97"/>
        <v>3.98434</v>
      </c>
      <c r="F297" s="117">
        <f t="shared" si="93"/>
        <v>3.9993400000000001</v>
      </c>
      <c r="G297" s="117">
        <f t="shared" si="98"/>
        <v>3.0769999999999995</v>
      </c>
      <c r="H297" s="117">
        <f t="shared" si="94"/>
        <v>3.0919999999999996</v>
      </c>
      <c r="I297" s="116">
        <f>IF($B$7=constants!$C$60,G297,IF($B$8=constants!$C$60,C297,E297))</f>
        <v>3.76971999999998</v>
      </c>
      <c r="J297" s="116">
        <f>IF($B$7=constants!$C$60,H297,IF($B$8=constants!$C$60,D297,F297))</f>
        <v>3.7847199999999801</v>
      </c>
      <c r="K297" s="121">
        <f t="shared" si="88"/>
        <v>1</v>
      </c>
      <c r="L297" s="10">
        <f t="shared" si="71"/>
        <v>3.76971999999998</v>
      </c>
      <c r="M297" s="126">
        <f t="shared" si="76"/>
        <v>2.4</v>
      </c>
      <c r="N297" s="126">
        <f t="shared" si="80"/>
        <v>2.4</v>
      </c>
      <c r="O297" s="126">
        <f>IF(OR($B$22=constants!$B$60,AND(I297&gt;$B$12,$B$12&lt;&gt;-1)),O296+(N297-O296)*$O$74,O296+(L297-O296)*$O$74)</f>
        <v>2.4</v>
      </c>
      <c r="P297" s="126">
        <f t="shared" si="82"/>
        <v>2.38</v>
      </c>
      <c r="Q297" s="123">
        <f t="shared" si="72"/>
        <v>2</v>
      </c>
      <c r="R297" s="123">
        <f t="shared" si="89"/>
        <v>2</v>
      </c>
      <c r="S297" s="3">
        <f t="shared" si="83"/>
        <v>0</v>
      </c>
      <c r="T297" s="3">
        <f t="shared" si="83"/>
        <v>0</v>
      </c>
      <c r="U297" s="3">
        <f t="shared" si="83"/>
        <v>0</v>
      </c>
      <c r="V297" s="3">
        <f t="shared" si="90"/>
        <v>0</v>
      </c>
      <c r="W297" s="3">
        <f t="shared" si="91"/>
        <v>0</v>
      </c>
      <c r="X297" s="3">
        <f t="shared" si="92"/>
        <v>0</v>
      </c>
      <c r="Y297" s="3">
        <f t="shared" si="84"/>
        <v>0</v>
      </c>
      <c r="Z297" s="3">
        <f t="shared" si="85"/>
        <v>0</v>
      </c>
      <c r="AA297" s="3">
        <f t="shared" si="86"/>
        <v>0</v>
      </c>
    </row>
    <row r="298" spans="1:27" x14ac:dyDescent="0.25">
      <c r="A298" s="3">
        <f t="shared" si="81"/>
        <v>1</v>
      </c>
      <c r="B298" s="113">
        <f t="shared" si="87"/>
        <v>2.2199999999999966</v>
      </c>
      <c r="C298" s="117">
        <f t="shared" si="95"/>
        <v>3.8310399999999785</v>
      </c>
      <c r="D298" s="117">
        <f t="shared" si="96"/>
        <v>3.8460399999999786</v>
      </c>
      <c r="E298" s="117">
        <f t="shared" si="97"/>
        <v>3.9828800000000002</v>
      </c>
      <c r="F298" s="117">
        <f t="shared" si="93"/>
        <v>3.9978800000000003</v>
      </c>
      <c r="G298" s="117">
        <f t="shared" si="98"/>
        <v>3.0759999999999996</v>
      </c>
      <c r="H298" s="117">
        <f t="shared" si="94"/>
        <v>3.0909999999999997</v>
      </c>
      <c r="I298" s="116">
        <f>IF($B$7=constants!$C$60,G298,IF($B$8=constants!$C$60,C298,E298))</f>
        <v>3.8310399999999785</v>
      </c>
      <c r="J298" s="116">
        <f>IF($B$7=constants!$C$60,H298,IF($B$8=constants!$C$60,D298,F298))</f>
        <v>3.8460399999999786</v>
      </c>
      <c r="K298" s="121">
        <f t="shared" si="88"/>
        <v>1</v>
      </c>
      <c r="L298" s="10">
        <f t="shared" si="71"/>
        <v>3.8310399999999785</v>
      </c>
      <c r="M298" s="126">
        <f t="shared" si="76"/>
        <v>2.4</v>
      </c>
      <c r="N298" s="126">
        <f t="shared" si="80"/>
        <v>2.4</v>
      </c>
      <c r="O298" s="126">
        <f>IF(OR($B$22=constants!$B$60,AND(I298&gt;$B$12,$B$12&lt;&gt;-1)),O297+(N298-O297)*$O$74,O297+(L298-O297)*$O$74)</f>
        <v>2.4</v>
      </c>
      <c r="P298" s="126">
        <f t="shared" si="82"/>
        <v>2.38</v>
      </c>
      <c r="Q298" s="123">
        <f t="shared" si="72"/>
        <v>2</v>
      </c>
      <c r="R298" s="123">
        <f t="shared" si="89"/>
        <v>2</v>
      </c>
      <c r="S298" s="3">
        <f t="shared" si="83"/>
        <v>0</v>
      </c>
      <c r="T298" s="3">
        <f t="shared" si="83"/>
        <v>0</v>
      </c>
      <c r="U298" s="3">
        <f t="shared" si="83"/>
        <v>0</v>
      </c>
      <c r="V298" s="3">
        <f t="shared" si="90"/>
        <v>0</v>
      </c>
      <c r="W298" s="3">
        <f t="shared" si="91"/>
        <v>0</v>
      </c>
      <c r="X298" s="3">
        <f t="shared" si="92"/>
        <v>0</v>
      </c>
      <c r="Y298" s="3">
        <f t="shared" si="84"/>
        <v>0</v>
      </c>
      <c r="Z298" s="3">
        <f t="shared" si="85"/>
        <v>0</v>
      </c>
      <c r="AA298" s="3">
        <f t="shared" si="86"/>
        <v>0</v>
      </c>
    </row>
    <row r="299" spans="1:27" x14ac:dyDescent="0.25">
      <c r="A299" s="3">
        <f t="shared" si="81"/>
        <v>1</v>
      </c>
      <c r="B299" s="113">
        <f t="shared" si="87"/>
        <v>2.2299999999999964</v>
      </c>
      <c r="C299" s="117">
        <f t="shared" si="95"/>
        <v>3.8923599999999769</v>
      </c>
      <c r="D299" s="117">
        <f t="shared" si="96"/>
        <v>3.9073599999999771</v>
      </c>
      <c r="E299" s="117">
        <f t="shared" si="97"/>
        <v>3.9814200000000004</v>
      </c>
      <c r="F299" s="117">
        <f t="shared" si="93"/>
        <v>3.9964200000000005</v>
      </c>
      <c r="G299" s="117">
        <f t="shared" si="98"/>
        <v>3.0749999999999997</v>
      </c>
      <c r="H299" s="117">
        <f t="shared" si="94"/>
        <v>3.09</v>
      </c>
      <c r="I299" s="116">
        <f>IF($B$7=constants!$C$60,G299,IF($B$8=constants!$C$60,C299,E299))</f>
        <v>3.8923599999999769</v>
      </c>
      <c r="J299" s="116">
        <f>IF($B$7=constants!$C$60,H299,IF($B$8=constants!$C$60,D299,F299))</f>
        <v>3.9073599999999771</v>
      </c>
      <c r="K299" s="121">
        <f t="shared" si="88"/>
        <v>1</v>
      </c>
      <c r="L299" s="10">
        <f t="shared" si="71"/>
        <v>3.8923599999999769</v>
      </c>
      <c r="M299" s="126">
        <f t="shared" si="76"/>
        <v>2.4</v>
      </c>
      <c r="N299" s="126">
        <f t="shared" si="80"/>
        <v>2.4</v>
      </c>
      <c r="O299" s="126">
        <f>IF(OR($B$22=constants!$B$60,AND(I299&gt;$B$12,$B$12&lt;&gt;-1)),O298+(N299-O298)*$O$74,O298+(L299-O298)*$O$74)</f>
        <v>2.4</v>
      </c>
      <c r="P299" s="126">
        <f t="shared" si="82"/>
        <v>2.38</v>
      </c>
      <c r="Q299" s="123">
        <f t="shared" si="72"/>
        <v>2</v>
      </c>
      <c r="R299" s="123">
        <f t="shared" si="89"/>
        <v>2</v>
      </c>
      <c r="S299" s="3">
        <f t="shared" si="83"/>
        <v>0</v>
      </c>
      <c r="T299" s="3">
        <f t="shared" si="83"/>
        <v>0</v>
      </c>
      <c r="U299" s="3">
        <f t="shared" si="83"/>
        <v>0</v>
      </c>
      <c r="V299" s="3">
        <f t="shared" si="90"/>
        <v>0</v>
      </c>
      <c r="W299" s="3">
        <f t="shared" si="91"/>
        <v>0</v>
      </c>
      <c r="X299" s="3">
        <f t="shared" si="92"/>
        <v>0</v>
      </c>
      <c r="Y299" s="3">
        <f t="shared" si="84"/>
        <v>0</v>
      </c>
      <c r="Z299" s="3">
        <f t="shared" si="85"/>
        <v>0</v>
      </c>
      <c r="AA299" s="3">
        <f t="shared" si="86"/>
        <v>0</v>
      </c>
    </row>
    <row r="300" spans="1:27" x14ac:dyDescent="0.25">
      <c r="A300" s="3">
        <f t="shared" si="81"/>
        <v>1</v>
      </c>
      <c r="B300" s="113">
        <f t="shared" si="87"/>
        <v>2.2399999999999962</v>
      </c>
      <c r="C300" s="117">
        <f t="shared" si="95"/>
        <v>3.9536799999999754</v>
      </c>
      <c r="D300" s="117">
        <f t="shared" si="96"/>
        <v>3.9686799999999756</v>
      </c>
      <c r="E300" s="117">
        <f t="shared" si="97"/>
        <v>3.9799600000000002</v>
      </c>
      <c r="F300" s="117">
        <f t="shared" si="93"/>
        <v>3.9949600000000003</v>
      </c>
      <c r="G300" s="117">
        <f t="shared" si="98"/>
        <v>3.0739999999999998</v>
      </c>
      <c r="H300" s="117">
        <f t="shared" si="94"/>
        <v>3.089</v>
      </c>
      <c r="I300" s="116">
        <f>IF($B$7=constants!$C$60,G300,IF($B$8=constants!$C$60,C300,E300))</f>
        <v>3.9536799999999754</v>
      </c>
      <c r="J300" s="116">
        <f>IF($B$7=constants!$C$60,H300,IF($B$8=constants!$C$60,D300,F300))</f>
        <v>3.9686799999999756</v>
      </c>
      <c r="K300" s="121">
        <f t="shared" si="88"/>
        <v>1</v>
      </c>
      <c r="L300" s="10">
        <f t="shared" si="71"/>
        <v>3.9536799999999754</v>
      </c>
      <c r="M300" s="126">
        <f t="shared" si="76"/>
        <v>2.4</v>
      </c>
      <c r="N300" s="126">
        <f t="shared" si="80"/>
        <v>2.4</v>
      </c>
      <c r="O300" s="126">
        <f>IF(OR($B$22=constants!$B$60,AND(I300&gt;$B$12,$B$12&lt;&gt;-1)),O299+(N300-O299)*$O$74,O299+(L300-O299)*$O$74)</f>
        <v>2.4</v>
      </c>
      <c r="P300" s="126">
        <f t="shared" si="82"/>
        <v>2.38</v>
      </c>
      <c r="Q300" s="123">
        <f t="shared" si="72"/>
        <v>2</v>
      </c>
      <c r="R300" s="123">
        <f t="shared" si="89"/>
        <v>2</v>
      </c>
      <c r="S300" s="3">
        <f t="shared" si="83"/>
        <v>0</v>
      </c>
      <c r="T300" s="3">
        <f t="shared" si="83"/>
        <v>0</v>
      </c>
      <c r="U300" s="3">
        <f t="shared" si="83"/>
        <v>0</v>
      </c>
      <c r="V300" s="3">
        <f t="shared" si="90"/>
        <v>0</v>
      </c>
      <c r="W300" s="3">
        <f t="shared" si="91"/>
        <v>0</v>
      </c>
      <c r="X300" s="3">
        <f t="shared" si="92"/>
        <v>0</v>
      </c>
      <c r="Y300" s="3">
        <f t="shared" si="84"/>
        <v>0</v>
      </c>
      <c r="Z300" s="3">
        <f t="shared" si="85"/>
        <v>0</v>
      </c>
      <c r="AA300" s="3">
        <f t="shared" si="86"/>
        <v>0</v>
      </c>
    </row>
    <row r="301" spans="1:27" x14ac:dyDescent="0.25">
      <c r="A301" s="3">
        <f t="shared" si="81"/>
        <v>1</v>
      </c>
      <c r="B301" s="113">
        <f t="shared" si="87"/>
        <v>2.249999999999996</v>
      </c>
      <c r="C301" s="117">
        <f>$D$33*B301+$D$34</f>
        <v>4.0150000000000006</v>
      </c>
      <c r="D301" s="117">
        <f t="shared" si="96"/>
        <v>4.03</v>
      </c>
      <c r="E301" s="117">
        <f t="shared" si="97"/>
        <v>3.9785000000000004</v>
      </c>
      <c r="F301" s="117">
        <f t="shared" si="93"/>
        <v>3.9935000000000005</v>
      </c>
      <c r="G301" s="117">
        <f t="shared" si="98"/>
        <v>3.073</v>
      </c>
      <c r="H301" s="117">
        <f t="shared" si="94"/>
        <v>3.0880000000000001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88"/>
        <v>1</v>
      </c>
      <c r="L301" s="10">
        <f t="shared" si="71"/>
        <v>4.0150000000000006</v>
      </c>
      <c r="M301" s="126">
        <f t="shared" si="76"/>
        <v>2.4</v>
      </c>
      <c r="N301" s="126">
        <f t="shared" si="80"/>
        <v>2.4</v>
      </c>
      <c r="O301" s="126">
        <f>IF(OR($B$22=constants!$B$60,AND(I301&gt;$B$12,$B$12&lt;&gt;-1)),O300+(N301-O300)*$O$74,O300+(L301-O300)*$O$74)</f>
        <v>2.4</v>
      </c>
      <c r="P301" s="126">
        <f t="shared" si="82"/>
        <v>2.38</v>
      </c>
      <c r="Q301" s="123">
        <f t="shared" si="72"/>
        <v>2</v>
      </c>
      <c r="R301" s="123">
        <f t="shared" si="89"/>
        <v>2</v>
      </c>
      <c r="S301" s="3">
        <f t="shared" ref="S301:U332" si="99">S$72*IF(S$71=0,$L301,IF(S$71=1,$R301,IF($B$12=-1,$L301,IF($I301&gt;$B$12,$R301,$L301))))</f>
        <v>0</v>
      </c>
      <c r="T301" s="3">
        <f t="shared" si="99"/>
        <v>0</v>
      </c>
      <c r="U301" s="3">
        <f t="shared" si="99"/>
        <v>0</v>
      </c>
      <c r="V301" s="3">
        <f t="shared" si="90"/>
        <v>0</v>
      </c>
      <c r="W301" s="3">
        <f t="shared" si="91"/>
        <v>0</v>
      </c>
      <c r="X301" s="3">
        <f t="shared" si="92"/>
        <v>0</v>
      </c>
      <c r="Y301" s="3">
        <f t="shared" si="84"/>
        <v>0</v>
      </c>
      <c r="Z301" s="3">
        <f t="shared" si="85"/>
        <v>0</v>
      </c>
      <c r="AA301" s="3">
        <f t="shared" si="86"/>
        <v>0</v>
      </c>
    </row>
    <row r="302" spans="1:27" x14ac:dyDescent="0.25">
      <c r="A302" s="3">
        <f t="shared" si="81"/>
        <v>1</v>
      </c>
      <c r="B302" s="113">
        <f t="shared" si="87"/>
        <v>2.2599999999999958</v>
      </c>
      <c r="C302" s="117">
        <f t="shared" ref="C302:C325" si="100">$D$33*B302+$D$34</f>
        <v>4.0120800000000001</v>
      </c>
      <c r="D302" s="117">
        <f t="shared" si="96"/>
        <v>4.0270799999999998</v>
      </c>
      <c r="E302" s="117">
        <f t="shared" si="97"/>
        <v>3.9770400000000001</v>
      </c>
      <c r="F302" s="117">
        <f t="shared" si="93"/>
        <v>3.9920400000000003</v>
      </c>
      <c r="G302" s="117">
        <f t="shared" si="98"/>
        <v>3.0719999999999996</v>
      </c>
      <c r="H302" s="117">
        <f t="shared" si="94"/>
        <v>3.0869999999999997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88"/>
        <v>1</v>
      </c>
      <c r="L302" s="10">
        <f t="shared" si="71"/>
        <v>4.0120800000000001</v>
      </c>
      <c r="M302" s="126">
        <f t="shared" si="76"/>
        <v>2.4</v>
      </c>
      <c r="N302" s="126">
        <f t="shared" si="80"/>
        <v>2.4</v>
      </c>
      <c r="O302" s="126">
        <f>IF(OR($B$22=constants!$B$60,AND(I302&gt;$B$12,$B$12&lt;&gt;-1)),O301+(N302-O301)*$O$74,O301+(L302-O301)*$O$74)</f>
        <v>2.4</v>
      </c>
      <c r="P302" s="126">
        <f t="shared" si="82"/>
        <v>2.38</v>
      </c>
      <c r="Q302" s="123">
        <f t="shared" si="72"/>
        <v>2</v>
      </c>
      <c r="R302" s="123">
        <f t="shared" si="89"/>
        <v>2</v>
      </c>
      <c r="S302" s="3">
        <f t="shared" si="99"/>
        <v>0</v>
      </c>
      <c r="T302" s="3">
        <f t="shared" si="99"/>
        <v>0</v>
      </c>
      <c r="U302" s="3">
        <f t="shared" si="99"/>
        <v>0</v>
      </c>
      <c r="V302" s="3">
        <f t="shared" si="90"/>
        <v>0</v>
      </c>
      <c r="W302" s="3">
        <f t="shared" si="91"/>
        <v>0</v>
      </c>
      <c r="X302" s="3">
        <f t="shared" si="92"/>
        <v>0</v>
      </c>
      <c r="Y302" s="3">
        <f t="shared" si="84"/>
        <v>0</v>
      </c>
      <c r="Z302" s="3">
        <f t="shared" si="85"/>
        <v>0</v>
      </c>
      <c r="AA302" s="3">
        <f t="shared" si="86"/>
        <v>0</v>
      </c>
    </row>
    <row r="303" spans="1:27" x14ac:dyDescent="0.25">
      <c r="A303" s="3">
        <f t="shared" si="81"/>
        <v>1</v>
      </c>
      <c r="B303" s="113">
        <f t="shared" si="87"/>
        <v>2.2699999999999956</v>
      </c>
      <c r="C303" s="117">
        <f t="shared" si="100"/>
        <v>4.0091600000000005</v>
      </c>
      <c r="D303" s="117">
        <f t="shared" si="96"/>
        <v>4.0241600000000002</v>
      </c>
      <c r="E303" s="117">
        <f t="shared" si="97"/>
        <v>3.9755800000000003</v>
      </c>
      <c r="F303" s="117">
        <f t="shared" si="93"/>
        <v>3.9905800000000005</v>
      </c>
      <c r="G303" s="117">
        <f t="shared" si="98"/>
        <v>3.0709999999999997</v>
      </c>
      <c r="H303" s="117">
        <f t="shared" si="94"/>
        <v>3.0859999999999999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88"/>
        <v>1</v>
      </c>
      <c r="L303" s="10">
        <f t="shared" si="71"/>
        <v>4.0091600000000005</v>
      </c>
      <c r="M303" s="126">
        <f t="shared" si="76"/>
        <v>2.4</v>
      </c>
      <c r="N303" s="126">
        <f t="shared" si="80"/>
        <v>2.4</v>
      </c>
      <c r="O303" s="126">
        <f>IF(OR($B$22=constants!$B$60,AND(I303&gt;$B$12,$B$12&lt;&gt;-1)),O302+(N303-O302)*$O$74,O302+(L303-O302)*$O$74)</f>
        <v>2.4</v>
      </c>
      <c r="P303" s="126">
        <f t="shared" si="82"/>
        <v>2.38</v>
      </c>
      <c r="Q303" s="123">
        <f t="shared" si="72"/>
        <v>2</v>
      </c>
      <c r="R303" s="123">
        <f t="shared" si="89"/>
        <v>2</v>
      </c>
      <c r="S303" s="3">
        <f t="shared" si="99"/>
        <v>0</v>
      </c>
      <c r="T303" s="3">
        <f t="shared" si="99"/>
        <v>0</v>
      </c>
      <c r="U303" s="3">
        <f t="shared" si="99"/>
        <v>0</v>
      </c>
      <c r="V303" s="3">
        <f t="shared" si="90"/>
        <v>0</v>
      </c>
      <c r="W303" s="3">
        <f t="shared" si="91"/>
        <v>0</v>
      </c>
      <c r="X303" s="3">
        <f t="shared" si="92"/>
        <v>0</v>
      </c>
      <c r="Y303" s="3">
        <f t="shared" si="84"/>
        <v>0</v>
      </c>
      <c r="Z303" s="3">
        <f t="shared" si="85"/>
        <v>0</v>
      </c>
      <c r="AA303" s="3">
        <f t="shared" si="86"/>
        <v>0</v>
      </c>
    </row>
    <row r="304" spans="1:27" x14ac:dyDescent="0.25">
      <c r="A304" s="3">
        <f t="shared" si="81"/>
        <v>1</v>
      </c>
      <c r="B304" s="113">
        <f t="shared" si="87"/>
        <v>2.2799999999999954</v>
      </c>
      <c r="C304" s="117">
        <f t="shared" si="100"/>
        <v>4.0062400000000009</v>
      </c>
      <c r="D304" s="117">
        <f t="shared" si="96"/>
        <v>4.0212400000000006</v>
      </c>
      <c r="E304" s="117">
        <f t="shared" si="97"/>
        <v>3.9741200000000005</v>
      </c>
      <c r="F304" s="117">
        <f t="shared" si="93"/>
        <v>3.9891200000000007</v>
      </c>
      <c r="G304" s="117">
        <f t="shared" si="98"/>
        <v>3.07</v>
      </c>
      <c r="H304" s="117">
        <f t="shared" si="94"/>
        <v>3.085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88"/>
        <v>1</v>
      </c>
      <c r="L304" s="10">
        <f t="shared" ref="L304:L367" si="101">IF($K304=0,IF($I304&gt;$B$16,L303+($I304-L303)*L$74-J$72,L303-L303/L$74),IF($I304&gt;$B$17,L303+($I304-L303)*L$74-J$72,L303-L303/L$74))</f>
        <v>4.0062400000000009</v>
      </c>
      <c r="M304" s="126">
        <f t="shared" si="76"/>
        <v>2.4</v>
      </c>
      <c r="N304" s="126">
        <f t="shared" si="80"/>
        <v>2.4</v>
      </c>
      <c r="O304" s="126">
        <f>IF(OR($B$22=constants!$B$60,AND(I304&gt;$B$12,$B$12&lt;&gt;-1)),O303+(N304-O303)*$O$74,O303+(L304-O303)*$O$74)</f>
        <v>2.4</v>
      </c>
      <c r="P304" s="126">
        <f t="shared" si="82"/>
        <v>2.38</v>
      </c>
      <c r="Q304" s="123">
        <f t="shared" ref="Q304:Q367" si="102">IF($K304=0,IF($I304&gt;$B$16,R303+($B$21-R303)*R$74-R$72,R303-R303/R$74),IF($I304&gt;$B$17,R303+($B$21-R303)*R$74-R$72,R303-R303/R$74))</f>
        <v>2</v>
      </c>
      <c r="R304" s="123">
        <f t="shared" si="89"/>
        <v>2</v>
      </c>
      <c r="S304" s="3">
        <f t="shared" si="99"/>
        <v>0</v>
      </c>
      <c r="T304" s="3">
        <f t="shared" si="99"/>
        <v>0</v>
      </c>
      <c r="U304" s="3">
        <f t="shared" si="99"/>
        <v>0</v>
      </c>
      <c r="V304" s="3">
        <f t="shared" si="90"/>
        <v>0</v>
      </c>
      <c r="W304" s="3">
        <f t="shared" si="91"/>
        <v>0</v>
      </c>
      <c r="X304" s="3">
        <f t="shared" si="92"/>
        <v>0</v>
      </c>
      <c r="Y304" s="3">
        <f t="shared" si="84"/>
        <v>0</v>
      </c>
      <c r="Z304" s="3">
        <f t="shared" si="85"/>
        <v>0</v>
      </c>
      <c r="AA304" s="3">
        <f t="shared" si="86"/>
        <v>0</v>
      </c>
    </row>
    <row r="305" spans="1:27" x14ac:dyDescent="0.25">
      <c r="A305" s="3">
        <f t="shared" si="81"/>
        <v>1</v>
      </c>
      <c r="B305" s="113">
        <f t="shared" si="87"/>
        <v>2.2899999999999952</v>
      </c>
      <c r="C305" s="117">
        <f t="shared" si="100"/>
        <v>4.0033200000000004</v>
      </c>
      <c r="D305" s="117">
        <f t="shared" si="96"/>
        <v>4.0183200000000001</v>
      </c>
      <c r="E305" s="117">
        <f t="shared" si="97"/>
        <v>3.9726600000000003</v>
      </c>
      <c r="F305" s="117">
        <f t="shared" ref="F305:F336" si="103">E305+$F$74</f>
        <v>3.9876600000000004</v>
      </c>
      <c r="G305" s="117">
        <f t="shared" si="98"/>
        <v>3.069</v>
      </c>
      <c r="H305" s="117">
        <f t="shared" si="94"/>
        <v>3.0840000000000001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88"/>
        <v>1</v>
      </c>
      <c r="L305" s="10">
        <f t="shared" si="101"/>
        <v>4.0033200000000004</v>
      </c>
      <c r="M305" s="126">
        <f t="shared" si="76"/>
        <v>2.4</v>
      </c>
      <c r="N305" s="126">
        <f t="shared" si="80"/>
        <v>2.4</v>
      </c>
      <c r="O305" s="126">
        <f>IF(OR($B$22=constants!$B$60,AND(I305&gt;$B$12,$B$12&lt;&gt;-1)),O304+(N305-O304)*$O$74,O304+(L305-O304)*$O$74)</f>
        <v>2.4</v>
      </c>
      <c r="P305" s="126">
        <f t="shared" si="82"/>
        <v>2.38</v>
      </c>
      <c r="Q305" s="123">
        <f t="shared" si="102"/>
        <v>2</v>
      </c>
      <c r="R305" s="123">
        <f t="shared" si="89"/>
        <v>2</v>
      </c>
      <c r="S305" s="3">
        <f t="shared" si="99"/>
        <v>0</v>
      </c>
      <c r="T305" s="3">
        <f t="shared" si="99"/>
        <v>0</v>
      </c>
      <c r="U305" s="3">
        <f t="shared" si="99"/>
        <v>0</v>
      </c>
      <c r="V305" s="3">
        <f t="shared" si="90"/>
        <v>0</v>
      </c>
      <c r="W305" s="3">
        <f t="shared" si="91"/>
        <v>0</v>
      </c>
      <c r="X305" s="3">
        <f t="shared" si="92"/>
        <v>0</v>
      </c>
      <c r="Y305" s="3">
        <f t="shared" si="84"/>
        <v>0</v>
      </c>
      <c r="Z305" s="3">
        <f t="shared" si="85"/>
        <v>0</v>
      </c>
      <c r="AA305" s="3">
        <f t="shared" si="86"/>
        <v>0</v>
      </c>
    </row>
    <row r="306" spans="1:27" x14ac:dyDescent="0.25">
      <c r="A306" s="3">
        <f t="shared" si="81"/>
        <v>1</v>
      </c>
      <c r="B306" s="113">
        <f t="shared" si="87"/>
        <v>2.2999999999999949</v>
      </c>
      <c r="C306" s="117">
        <f t="shared" si="100"/>
        <v>4.0004000000000008</v>
      </c>
      <c r="D306" s="117">
        <f t="shared" si="96"/>
        <v>4.0154000000000005</v>
      </c>
      <c r="E306" s="117">
        <f t="shared" si="97"/>
        <v>3.9712000000000005</v>
      </c>
      <c r="F306" s="117">
        <f t="shared" si="103"/>
        <v>3.9862000000000006</v>
      </c>
      <c r="G306" s="117">
        <f t="shared" si="98"/>
        <v>3.0680000000000001</v>
      </c>
      <c r="H306" s="117">
        <f t="shared" si="94"/>
        <v>3.0830000000000002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88"/>
        <v>1</v>
      </c>
      <c r="L306" s="10">
        <f t="shared" si="101"/>
        <v>4.0004000000000008</v>
      </c>
      <c r="M306" s="126">
        <f t="shared" ref="M306:M369" si="104">IF($K306=0,IF($I306&gt;$B$16,M305+($B$20-M305)*M$74-K$72,M305-M305/M$74),IF($I306&gt;$B$17,M305+($B$20-M305)*M$74-K$72,M305-M305/M$74))</f>
        <v>2.4</v>
      </c>
      <c r="N306" s="126">
        <f t="shared" si="80"/>
        <v>2.4</v>
      </c>
      <c r="O306" s="126">
        <f>IF(OR($B$22=constants!$B$60,AND(I306&gt;$B$12,$B$12&lt;&gt;-1)),O305+(N306-O305)*$O$74,O305+(L306-O305)*$O$74)</f>
        <v>2.4</v>
      </c>
      <c r="P306" s="126">
        <f t="shared" si="82"/>
        <v>2.38</v>
      </c>
      <c r="Q306" s="123">
        <f t="shared" si="102"/>
        <v>2</v>
      </c>
      <c r="R306" s="123">
        <f t="shared" si="89"/>
        <v>2</v>
      </c>
      <c r="S306" s="3">
        <f t="shared" si="99"/>
        <v>0</v>
      </c>
      <c r="T306" s="3">
        <f t="shared" si="99"/>
        <v>0</v>
      </c>
      <c r="U306" s="3">
        <f t="shared" si="99"/>
        <v>0</v>
      </c>
      <c r="V306" s="3">
        <f t="shared" si="90"/>
        <v>0</v>
      </c>
      <c r="W306" s="3">
        <f t="shared" si="91"/>
        <v>0</v>
      </c>
      <c r="X306" s="3">
        <f t="shared" si="92"/>
        <v>0</v>
      </c>
      <c r="Y306" s="3">
        <f t="shared" si="84"/>
        <v>0</v>
      </c>
      <c r="Z306" s="3">
        <f t="shared" si="85"/>
        <v>0</v>
      </c>
      <c r="AA306" s="3">
        <f t="shared" si="86"/>
        <v>0</v>
      </c>
    </row>
    <row r="307" spans="1:27" x14ac:dyDescent="0.25">
      <c r="A307" s="3">
        <f t="shared" si="81"/>
        <v>1</v>
      </c>
      <c r="B307" s="113">
        <f t="shared" si="87"/>
        <v>2.3099999999999947</v>
      </c>
      <c r="C307" s="117">
        <f t="shared" si="100"/>
        <v>3.9974800000000008</v>
      </c>
      <c r="D307" s="117">
        <f t="shared" si="96"/>
        <v>4.0124800000000009</v>
      </c>
      <c r="E307" s="117">
        <f t="shared" si="97"/>
        <v>3.9697400000000007</v>
      </c>
      <c r="F307" s="117">
        <f t="shared" si="103"/>
        <v>3.9847400000000008</v>
      </c>
      <c r="G307" s="117">
        <f t="shared" si="98"/>
        <v>3.0669999999999997</v>
      </c>
      <c r="H307" s="117">
        <f t="shared" si="94"/>
        <v>3.0819999999999999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88"/>
        <v>1</v>
      </c>
      <c r="L307" s="10">
        <f t="shared" si="101"/>
        <v>3.9974800000000008</v>
      </c>
      <c r="M307" s="126">
        <f t="shared" si="104"/>
        <v>2.4</v>
      </c>
      <c r="N307" s="126">
        <f t="shared" si="80"/>
        <v>2.4</v>
      </c>
      <c r="O307" s="126">
        <f>IF(OR($B$22=constants!$B$60,AND(I307&gt;$B$12,$B$12&lt;&gt;-1)),O306+(N307-O306)*$O$74,O306+(L307-O306)*$O$74)</f>
        <v>2.4</v>
      </c>
      <c r="P307" s="126">
        <f t="shared" si="82"/>
        <v>2.38</v>
      </c>
      <c r="Q307" s="123">
        <f t="shared" si="102"/>
        <v>2</v>
      </c>
      <c r="R307" s="123">
        <f t="shared" si="89"/>
        <v>2</v>
      </c>
      <c r="S307" s="3">
        <f t="shared" si="99"/>
        <v>0</v>
      </c>
      <c r="T307" s="3">
        <f t="shared" si="99"/>
        <v>0</v>
      </c>
      <c r="U307" s="3">
        <f t="shared" si="99"/>
        <v>0</v>
      </c>
      <c r="V307" s="3">
        <f t="shared" si="90"/>
        <v>0</v>
      </c>
      <c r="W307" s="3">
        <f t="shared" si="91"/>
        <v>0</v>
      </c>
      <c r="X307" s="3">
        <f t="shared" si="92"/>
        <v>0</v>
      </c>
      <c r="Y307" s="3">
        <f t="shared" si="84"/>
        <v>0</v>
      </c>
      <c r="Z307" s="3">
        <f t="shared" si="85"/>
        <v>0</v>
      </c>
      <c r="AA307" s="3">
        <f t="shared" si="86"/>
        <v>0</v>
      </c>
    </row>
    <row r="308" spans="1:27" x14ac:dyDescent="0.25">
      <c r="A308" s="3">
        <f t="shared" si="81"/>
        <v>1</v>
      </c>
      <c r="B308" s="113">
        <f t="shared" si="87"/>
        <v>2.3199999999999945</v>
      </c>
      <c r="C308" s="117">
        <f t="shared" si="100"/>
        <v>3.9945600000000008</v>
      </c>
      <c r="D308" s="117">
        <f t="shared" si="96"/>
        <v>4.0095600000000005</v>
      </c>
      <c r="E308" s="117">
        <f t="shared" si="97"/>
        <v>3.9682800000000005</v>
      </c>
      <c r="F308" s="117">
        <f t="shared" si="103"/>
        <v>3.9832800000000006</v>
      </c>
      <c r="G308" s="117">
        <f t="shared" si="98"/>
        <v>3.0659999999999998</v>
      </c>
      <c r="H308" s="117">
        <f t="shared" ref="H308:H339" si="105">$H$63*B308+$H$64</f>
        <v>3.081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88"/>
        <v>1</v>
      </c>
      <c r="L308" s="10">
        <f t="shared" si="101"/>
        <v>3.9945600000000008</v>
      </c>
      <c r="M308" s="126">
        <f t="shared" si="104"/>
        <v>2.4</v>
      </c>
      <c r="N308" s="126">
        <f t="shared" si="80"/>
        <v>2.4</v>
      </c>
      <c r="O308" s="126">
        <f>IF(OR($B$22=constants!$B$60,AND(I308&gt;$B$12,$B$12&lt;&gt;-1)),O307+(N308-O307)*$O$74,O307+(L308-O307)*$O$74)</f>
        <v>2.4</v>
      </c>
      <c r="P308" s="126">
        <f t="shared" si="82"/>
        <v>2.38</v>
      </c>
      <c r="Q308" s="123">
        <f t="shared" si="102"/>
        <v>2</v>
      </c>
      <c r="R308" s="123">
        <f t="shared" si="89"/>
        <v>2</v>
      </c>
      <c r="S308" s="3">
        <f t="shared" si="99"/>
        <v>0</v>
      </c>
      <c r="T308" s="3">
        <f t="shared" si="99"/>
        <v>0</v>
      </c>
      <c r="U308" s="3">
        <f t="shared" si="99"/>
        <v>0</v>
      </c>
      <c r="V308" s="3">
        <f t="shared" si="90"/>
        <v>0</v>
      </c>
      <c r="W308" s="3">
        <f t="shared" si="91"/>
        <v>0</v>
      </c>
      <c r="X308" s="3">
        <f t="shared" si="92"/>
        <v>0</v>
      </c>
      <c r="Y308" s="3">
        <f t="shared" si="84"/>
        <v>0</v>
      </c>
      <c r="Z308" s="3">
        <f t="shared" si="85"/>
        <v>0</v>
      </c>
      <c r="AA308" s="3">
        <f t="shared" si="86"/>
        <v>0</v>
      </c>
    </row>
    <row r="309" spans="1:27" x14ac:dyDescent="0.25">
      <c r="A309" s="3">
        <f t="shared" si="81"/>
        <v>1</v>
      </c>
      <c r="B309" s="113">
        <f t="shared" si="87"/>
        <v>2.3299999999999943</v>
      </c>
      <c r="C309" s="117">
        <f t="shared" si="100"/>
        <v>3.9916400000000012</v>
      </c>
      <c r="D309" s="117">
        <f t="shared" ref="D309:D340" si="106">C309+$D$74</f>
        <v>4.0066400000000009</v>
      </c>
      <c r="E309" s="117">
        <f t="shared" si="97"/>
        <v>3.9668200000000007</v>
      </c>
      <c r="F309" s="117">
        <f t="shared" si="103"/>
        <v>3.9818200000000008</v>
      </c>
      <c r="G309" s="117">
        <f t="shared" si="98"/>
        <v>3.0649999999999999</v>
      </c>
      <c r="H309" s="117">
        <f t="shared" si="105"/>
        <v>3.08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88"/>
        <v>1</v>
      </c>
      <c r="L309" s="10">
        <f t="shared" si="101"/>
        <v>3.9916400000000012</v>
      </c>
      <c r="M309" s="126">
        <f t="shared" si="104"/>
        <v>2.4</v>
      </c>
      <c r="N309" s="126">
        <f t="shared" si="80"/>
        <v>2.4</v>
      </c>
      <c r="O309" s="126">
        <f>IF(OR($B$22=constants!$B$60,AND(I309&gt;$B$12,$B$12&lt;&gt;-1)),O308+(N309-O308)*$O$74,O308+(L309-O308)*$O$74)</f>
        <v>2.4</v>
      </c>
      <c r="P309" s="126">
        <f t="shared" si="82"/>
        <v>2.38</v>
      </c>
      <c r="Q309" s="123">
        <f t="shared" si="102"/>
        <v>2</v>
      </c>
      <c r="R309" s="123">
        <f t="shared" si="89"/>
        <v>2</v>
      </c>
      <c r="S309" s="3">
        <f t="shared" si="99"/>
        <v>0</v>
      </c>
      <c r="T309" s="3">
        <f t="shared" si="99"/>
        <v>0</v>
      </c>
      <c r="U309" s="3">
        <f t="shared" si="99"/>
        <v>0</v>
      </c>
      <c r="V309" s="3">
        <f t="shared" si="90"/>
        <v>0</v>
      </c>
      <c r="W309" s="3">
        <f t="shared" si="91"/>
        <v>0</v>
      </c>
      <c r="X309" s="3">
        <f t="shared" si="92"/>
        <v>0</v>
      </c>
      <c r="Y309" s="3">
        <f t="shared" si="84"/>
        <v>0</v>
      </c>
      <c r="Z309" s="3">
        <f t="shared" si="85"/>
        <v>0</v>
      </c>
      <c r="AA309" s="3">
        <f t="shared" si="86"/>
        <v>0</v>
      </c>
    </row>
    <row r="310" spans="1:27" x14ac:dyDescent="0.25">
      <c r="A310" s="3">
        <f t="shared" si="81"/>
        <v>1</v>
      </c>
      <c r="B310" s="113">
        <f t="shared" si="87"/>
        <v>2.3399999999999941</v>
      </c>
      <c r="C310" s="117">
        <f t="shared" si="100"/>
        <v>3.9887200000000007</v>
      </c>
      <c r="D310" s="117">
        <f t="shared" si="106"/>
        <v>4.0037200000000004</v>
      </c>
      <c r="E310" s="117">
        <f t="shared" si="97"/>
        <v>3.9653600000000004</v>
      </c>
      <c r="F310" s="117">
        <f t="shared" si="103"/>
        <v>3.9803600000000006</v>
      </c>
      <c r="G310" s="117">
        <f t="shared" si="98"/>
        <v>3.0640000000000001</v>
      </c>
      <c r="H310" s="117">
        <f t="shared" si="105"/>
        <v>3.0790000000000002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88"/>
        <v>1</v>
      </c>
      <c r="L310" s="10">
        <f t="shared" si="101"/>
        <v>3.9887200000000007</v>
      </c>
      <c r="M310" s="126">
        <f t="shared" si="104"/>
        <v>2.4</v>
      </c>
      <c r="N310" s="126">
        <f t="shared" si="80"/>
        <v>2.4</v>
      </c>
      <c r="O310" s="126">
        <f>IF(OR($B$22=constants!$B$60,AND(I310&gt;$B$12,$B$12&lt;&gt;-1)),O309+(N310-O309)*$O$74,O309+(L310-O309)*$O$74)</f>
        <v>2.4</v>
      </c>
      <c r="P310" s="126">
        <f t="shared" si="82"/>
        <v>2.38</v>
      </c>
      <c r="Q310" s="123">
        <f t="shared" si="102"/>
        <v>2</v>
      </c>
      <c r="R310" s="123">
        <f t="shared" si="89"/>
        <v>2</v>
      </c>
      <c r="S310" s="3">
        <f t="shared" si="99"/>
        <v>0</v>
      </c>
      <c r="T310" s="3">
        <f t="shared" si="99"/>
        <v>0</v>
      </c>
      <c r="U310" s="3">
        <f t="shared" si="99"/>
        <v>0</v>
      </c>
      <c r="V310" s="3">
        <f t="shared" si="90"/>
        <v>0</v>
      </c>
      <c r="W310" s="3">
        <f t="shared" si="91"/>
        <v>0</v>
      </c>
      <c r="X310" s="3">
        <f t="shared" si="92"/>
        <v>0</v>
      </c>
      <c r="Y310" s="3">
        <f t="shared" si="84"/>
        <v>0</v>
      </c>
      <c r="Z310" s="3">
        <f t="shared" si="85"/>
        <v>0</v>
      </c>
      <c r="AA310" s="3">
        <f t="shared" si="86"/>
        <v>0</v>
      </c>
    </row>
    <row r="311" spans="1:27" x14ac:dyDescent="0.25">
      <c r="A311" s="3">
        <f t="shared" si="81"/>
        <v>1</v>
      </c>
      <c r="B311" s="113">
        <f t="shared" si="87"/>
        <v>2.3499999999999939</v>
      </c>
      <c r="C311" s="117">
        <f t="shared" si="100"/>
        <v>3.9858000000000011</v>
      </c>
      <c r="D311" s="117">
        <f t="shared" si="106"/>
        <v>4.0008000000000008</v>
      </c>
      <c r="E311" s="117">
        <f t="shared" si="97"/>
        <v>3.9639000000000006</v>
      </c>
      <c r="F311" s="117">
        <f t="shared" si="103"/>
        <v>3.9789000000000008</v>
      </c>
      <c r="G311" s="117">
        <f t="shared" si="98"/>
        <v>3.0630000000000002</v>
      </c>
      <c r="H311" s="117">
        <f t="shared" si="105"/>
        <v>3.0780000000000003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88"/>
        <v>1</v>
      </c>
      <c r="L311" s="10">
        <f t="shared" si="101"/>
        <v>3.9858000000000011</v>
      </c>
      <c r="M311" s="126">
        <f t="shared" si="104"/>
        <v>2.4</v>
      </c>
      <c r="N311" s="126">
        <f t="shared" si="80"/>
        <v>2.4</v>
      </c>
      <c r="O311" s="126">
        <f>IF(OR($B$22=constants!$B$60,AND(I311&gt;$B$12,$B$12&lt;&gt;-1)),O310+(N311-O310)*$O$74,O310+(L311-O310)*$O$74)</f>
        <v>2.4</v>
      </c>
      <c r="P311" s="126">
        <f t="shared" si="82"/>
        <v>2.38</v>
      </c>
      <c r="Q311" s="123">
        <f t="shared" si="102"/>
        <v>2</v>
      </c>
      <c r="R311" s="123">
        <f t="shared" si="89"/>
        <v>2</v>
      </c>
      <c r="S311" s="3">
        <f t="shared" si="99"/>
        <v>0</v>
      </c>
      <c r="T311" s="3">
        <f t="shared" si="99"/>
        <v>0</v>
      </c>
      <c r="U311" s="3">
        <f t="shared" si="99"/>
        <v>0</v>
      </c>
      <c r="V311" s="3">
        <f t="shared" si="90"/>
        <v>0</v>
      </c>
      <c r="W311" s="3">
        <f t="shared" si="91"/>
        <v>0</v>
      </c>
      <c r="X311" s="3">
        <f t="shared" si="92"/>
        <v>0</v>
      </c>
      <c r="Y311" s="3">
        <f t="shared" si="84"/>
        <v>0</v>
      </c>
      <c r="Z311" s="3">
        <f t="shared" si="85"/>
        <v>0</v>
      </c>
      <c r="AA311" s="3">
        <f t="shared" si="86"/>
        <v>0</v>
      </c>
    </row>
    <row r="312" spans="1:27" x14ac:dyDescent="0.25">
      <c r="A312" s="3">
        <f t="shared" si="81"/>
        <v>1</v>
      </c>
      <c r="B312" s="113">
        <f t="shared" si="87"/>
        <v>2.3599999999999937</v>
      </c>
      <c r="C312" s="117">
        <f t="shared" si="100"/>
        <v>3.9828800000000011</v>
      </c>
      <c r="D312" s="117">
        <f t="shared" si="106"/>
        <v>3.9978800000000012</v>
      </c>
      <c r="E312" s="117">
        <f t="shared" si="97"/>
        <v>3.9624400000000009</v>
      </c>
      <c r="F312" s="117">
        <f t="shared" si="103"/>
        <v>3.977440000000001</v>
      </c>
      <c r="G312" s="117">
        <f t="shared" si="98"/>
        <v>3.0619999999999998</v>
      </c>
      <c r="H312" s="117">
        <f t="shared" si="105"/>
        <v>3.077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88"/>
        <v>1</v>
      </c>
      <c r="L312" s="10">
        <f t="shared" si="101"/>
        <v>3.9828800000000011</v>
      </c>
      <c r="M312" s="126">
        <f t="shared" si="104"/>
        <v>2.4</v>
      </c>
      <c r="N312" s="126">
        <f t="shared" si="80"/>
        <v>2.4</v>
      </c>
      <c r="O312" s="126">
        <f>IF(OR($B$22=constants!$B$60,AND(I312&gt;$B$12,$B$12&lt;&gt;-1)),O311+(N312-O311)*$O$74,O311+(L312-O311)*$O$74)</f>
        <v>2.4</v>
      </c>
      <c r="P312" s="126">
        <f t="shared" si="82"/>
        <v>2.38</v>
      </c>
      <c r="Q312" s="123">
        <f t="shared" si="102"/>
        <v>2</v>
      </c>
      <c r="R312" s="123">
        <f t="shared" si="89"/>
        <v>2</v>
      </c>
      <c r="S312" s="3">
        <f t="shared" si="99"/>
        <v>0</v>
      </c>
      <c r="T312" s="3">
        <f t="shared" si="99"/>
        <v>0</v>
      </c>
      <c r="U312" s="3">
        <f t="shared" si="99"/>
        <v>0</v>
      </c>
      <c r="V312" s="3">
        <f t="shared" si="90"/>
        <v>0</v>
      </c>
      <c r="W312" s="3">
        <f t="shared" si="91"/>
        <v>0</v>
      </c>
      <c r="X312" s="3">
        <f t="shared" si="92"/>
        <v>0</v>
      </c>
      <c r="Y312" s="3">
        <f t="shared" si="84"/>
        <v>0</v>
      </c>
      <c r="Z312" s="3">
        <f t="shared" si="85"/>
        <v>0</v>
      </c>
      <c r="AA312" s="3">
        <f t="shared" si="86"/>
        <v>0</v>
      </c>
    </row>
    <row r="313" spans="1:27" x14ac:dyDescent="0.25">
      <c r="A313" s="3">
        <f t="shared" si="81"/>
        <v>1</v>
      </c>
      <c r="B313" s="113">
        <f t="shared" si="87"/>
        <v>2.3699999999999934</v>
      </c>
      <c r="C313" s="117">
        <f t="shared" si="100"/>
        <v>3.9799600000000011</v>
      </c>
      <c r="D313" s="117">
        <f t="shared" si="106"/>
        <v>3.9949600000000012</v>
      </c>
      <c r="E313" s="117">
        <f t="shared" si="97"/>
        <v>3.9609800000000006</v>
      </c>
      <c r="F313" s="117">
        <f t="shared" si="103"/>
        <v>3.9759800000000007</v>
      </c>
      <c r="G313" s="117">
        <f t="shared" si="98"/>
        <v>3.0609999999999999</v>
      </c>
      <c r="H313" s="117">
        <f t="shared" si="105"/>
        <v>3.0760000000000001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88"/>
        <v>1</v>
      </c>
      <c r="L313" s="10">
        <f t="shared" si="101"/>
        <v>3.9799600000000011</v>
      </c>
      <c r="M313" s="126">
        <f t="shared" si="104"/>
        <v>2.4</v>
      </c>
      <c r="N313" s="126">
        <f t="shared" si="80"/>
        <v>2.4</v>
      </c>
      <c r="O313" s="126">
        <f>IF(OR($B$22=constants!$B$60,AND(I313&gt;$B$12,$B$12&lt;&gt;-1)),O312+(N313-O312)*$O$74,O312+(L313-O312)*$O$74)</f>
        <v>2.4</v>
      </c>
      <c r="P313" s="126">
        <f t="shared" si="82"/>
        <v>2.38</v>
      </c>
      <c r="Q313" s="123">
        <f t="shared" si="102"/>
        <v>2</v>
      </c>
      <c r="R313" s="123">
        <f t="shared" si="89"/>
        <v>2</v>
      </c>
      <c r="S313" s="3">
        <f t="shared" si="99"/>
        <v>0</v>
      </c>
      <c r="T313" s="3">
        <f t="shared" si="99"/>
        <v>0</v>
      </c>
      <c r="U313" s="3">
        <f t="shared" si="99"/>
        <v>0</v>
      </c>
      <c r="V313" s="3">
        <f t="shared" si="90"/>
        <v>0</v>
      </c>
      <c r="W313" s="3">
        <f t="shared" si="91"/>
        <v>0</v>
      </c>
      <c r="X313" s="3">
        <f t="shared" si="92"/>
        <v>0</v>
      </c>
      <c r="Y313" s="3">
        <f t="shared" si="84"/>
        <v>0</v>
      </c>
      <c r="Z313" s="3">
        <f t="shared" si="85"/>
        <v>0</v>
      </c>
      <c r="AA313" s="3">
        <f t="shared" si="86"/>
        <v>0</v>
      </c>
    </row>
    <row r="314" spans="1:27" x14ac:dyDescent="0.25">
      <c r="A314" s="3">
        <f t="shared" si="81"/>
        <v>1</v>
      </c>
      <c r="B314" s="113">
        <f t="shared" si="87"/>
        <v>2.3799999999999932</v>
      </c>
      <c r="C314" s="117">
        <f t="shared" si="100"/>
        <v>3.9770400000000015</v>
      </c>
      <c r="D314" s="117">
        <f t="shared" si="106"/>
        <v>3.9920400000000016</v>
      </c>
      <c r="E314" s="117">
        <f t="shared" si="97"/>
        <v>3.9595200000000008</v>
      </c>
      <c r="F314" s="117">
        <f t="shared" si="103"/>
        <v>3.9745200000000009</v>
      </c>
      <c r="G314" s="117">
        <f t="shared" si="98"/>
        <v>3.06</v>
      </c>
      <c r="H314" s="117">
        <f t="shared" si="105"/>
        <v>3.0750000000000002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88"/>
        <v>1</v>
      </c>
      <c r="L314" s="10">
        <f t="shared" si="101"/>
        <v>3.9770400000000015</v>
      </c>
      <c r="M314" s="126">
        <f t="shared" si="104"/>
        <v>2.4</v>
      </c>
      <c r="N314" s="126">
        <f t="shared" si="80"/>
        <v>2.4</v>
      </c>
      <c r="O314" s="126">
        <f>IF(OR($B$22=constants!$B$60,AND(I314&gt;$B$12,$B$12&lt;&gt;-1)),O313+(N314-O313)*$O$74,O313+(L314-O313)*$O$74)</f>
        <v>2.4</v>
      </c>
      <c r="P314" s="126">
        <f t="shared" si="82"/>
        <v>2.38</v>
      </c>
      <c r="Q314" s="123">
        <f t="shared" si="102"/>
        <v>2</v>
      </c>
      <c r="R314" s="123">
        <f t="shared" si="89"/>
        <v>2</v>
      </c>
      <c r="S314" s="3">
        <f t="shared" si="99"/>
        <v>0</v>
      </c>
      <c r="T314" s="3">
        <f t="shared" si="99"/>
        <v>0</v>
      </c>
      <c r="U314" s="3">
        <f t="shared" si="99"/>
        <v>0</v>
      </c>
      <c r="V314" s="3">
        <f t="shared" si="90"/>
        <v>0</v>
      </c>
      <c r="W314" s="3">
        <f t="shared" si="91"/>
        <v>0</v>
      </c>
      <c r="X314" s="3">
        <f t="shared" si="92"/>
        <v>0</v>
      </c>
      <c r="Y314" s="3">
        <f t="shared" si="84"/>
        <v>0</v>
      </c>
      <c r="Z314" s="3">
        <f t="shared" si="85"/>
        <v>0</v>
      </c>
      <c r="AA314" s="3">
        <f t="shared" si="86"/>
        <v>0</v>
      </c>
    </row>
    <row r="315" spans="1:27" x14ac:dyDescent="0.25">
      <c r="A315" s="3">
        <f t="shared" si="81"/>
        <v>1</v>
      </c>
      <c r="B315" s="113">
        <f t="shared" si="87"/>
        <v>2.389999999999993</v>
      </c>
      <c r="C315" s="117">
        <f t="shared" si="100"/>
        <v>3.9741200000000014</v>
      </c>
      <c r="D315" s="117">
        <f t="shared" si="106"/>
        <v>3.9891200000000016</v>
      </c>
      <c r="E315" s="117">
        <f t="shared" si="97"/>
        <v>3.9580600000000006</v>
      </c>
      <c r="F315" s="117">
        <f t="shared" si="103"/>
        <v>3.9730600000000007</v>
      </c>
      <c r="G315" s="117">
        <f t="shared" si="98"/>
        <v>3.0590000000000002</v>
      </c>
      <c r="H315" s="117">
        <f t="shared" si="105"/>
        <v>3.0740000000000003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88"/>
        <v>1</v>
      </c>
      <c r="L315" s="10">
        <f t="shared" si="101"/>
        <v>3.9741200000000014</v>
      </c>
      <c r="M315" s="126">
        <f t="shared" si="104"/>
        <v>2.4</v>
      </c>
      <c r="N315" s="126">
        <f t="shared" si="80"/>
        <v>2.4</v>
      </c>
      <c r="O315" s="126">
        <f>IF(OR($B$22=constants!$B$60,AND(I315&gt;$B$12,$B$12&lt;&gt;-1)),O314+(N315-O314)*$O$74,O314+(L315-O314)*$O$74)</f>
        <v>2.4</v>
      </c>
      <c r="P315" s="126">
        <f t="shared" si="82"/>
        <v>2.38</v>
      </c>
      <c r="Q315" s="123">
        <f t="shared" si="102"/>
        <v>2</v>
      </c>
      <c r="R315" s="123">
        <f t="shared" si="89"/>
        <v>2</v>
      </c>
      <c r="S315" s="3">
        <f t="shared" si="99"/>
        <v>0</v>
      </c>
      <c r="T315" s="3">
        <f t="shared" si="99"/>
        <v>0</v>
      </c>
      <c r="U315" s="3">
        <f t="shared" si="99"/>
        <v>0</v>
      </c>
      <c r="V315" s="3">
        <f t="shared" si="90"/>
        <v>0</v>
      </c>
      <c r="W315" s="3">
        <f t="shared" si="91"/>
        <v>0</v>
      </c>
      <c r="X315" s="3">
        <f t="shared" si="92"/>
        <v>0</v>
      </c>
      <c r="Y315" s="3">
        <f t="shared" si="84"/>
        <v>0</v>
      </c>
      <c r="Z315" s="3">
        <f t="shared" si="85"/>
        <v>0</v>
      </c>
      <c r="AA315" s="3">
        <f t="shared" si="86"/>
        <v>0</v>
      </c>
    </row>
    <row r="316" spans="1:27" x14ac:dyDescent="0.25">
      <c r="A316" s="3">
        <f t="shared" si="81"/>
        <v>1</v>
      </c>
      <c r="B316" s="113">
        <f t="shared" si="87"/>
        <v>2.3999999999999928</v>
      </c>
      <c r="C316" s="117">
        <f t="shared" si="100"/>
        <v>3.9712000000000014</v>
      </c>
      <c r="D316" s="117">
        <f t="shared" si="106"/>
        <v>3.9862000000000015</v>
      </c>
      <c r="E316" s="117">
        <f t="shared" si="97"/>
        <v>3.9566000000000008</v>
      </c>
      <c r="F316" s="117">
        <f t="shared" si="103"/>
        <v>3.9716000000000009</v>
      </c>
      <c r="G316" s="117">
        <f t="shared" si="98"/>
        <v>3.0580000000000003</v>
      </c>
      <c r="H316" s="117">
        <f t="shared" si="105"/>
        <v>3.0730000000000004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88"/>
        <v>1</v>
      </c>
      <c r="L316" s="10">
        <f t="shared" si="101"/>
        <v>3.9712000000000014</v>
      </c>
      <c r="M316" s="126">
        <f t="shared" si="104"/>
        <v>2.4</v>
      </c>
      <c r="N316" s="126">
        <f t="shared" si="80"/>
        <v>2.4</v>
      </c>
      <c r="O316" s="126">
        <f>IF(OR($B$22=constants!$B$60,AND(I316&gt;$B$12,$B$12&lt;&gt;-1)),O315+(N316-O315)*$O$74,O315+(L316-O315)*$O$74)</f>
        <v>2.4</v>
      </c>
      <c r="P316" s="126">
        <f t="shared" si="82"/>
        <v>2.38</v>
      </c>
      <c r="Q316" s="123">
        <f t="shared" si="102"/>
        <v>2</v>
      </c>
      <c r="R316" s="123">
        <f t="shared" si="89"/>
        <v>2</v>
      </c>
      <c r="S316" s="3">
        <f t="shared" si="99"/>
        <v>0</v>
      </c>
      <c r="T316" s="3">
        <f t="shared" si="99"/>
        <v>0</v>
      </c>
      <c r="U316" s="3">
        <f t="shared" si="99"/>
        <v>0</v>
      </c>
      <c r="V316" s="3">
        <f t="shared" si="90"/>
        <v>0</v>
      </c>
      <c r="W316" s="3">
        <f t="shared" si="91"/>
        <v>0</v>
      </c>
      <c r="X316" s="3">
        <f t="shared" si="92"/>
        <v>0</v>
      </c>
      <c r="Y316" s="3">
        <f t="shared" si="84"/>
        <v>0</v>
      </c>
      <c r="Z316" s="3">
        <f t="shared" si="85"/>
        <v>0</v>
      </c>
      <c r="AA316" s="3">
        <f t="shared" si="86"/>
        <v>0</v>
      </c>
    </row>
    <row r="317" spans="1:27" x14ac:dyDescent="0.25">
      <c r="A317" s="3">
        <f t="shared" si="81"/>
        <v>1</v>
      </c>
      <c r="B317" s="113">
        <f t="shared" si="87"/>
        <v>2.4099999999999926</v>
      </c>
      <c r="C317" s="117">
        <f t="shared" si="100"/>
        <v>3.9682800000000014</v>
      </c>
      <c r="D317" s="117">
        <f t="shared" si="106"/>
        <v>3.9832800000000015</v>
      </c>
      <c r="E317" s="117">
        <f t="shared" si="97"/>
        <v>3.955140000000001</v>
      </c>
      <c r="F317" s="117">
        <f t="shared" si="103"/>
        <v>3.9701400000000011</v>
      </c>
      <c r="G317" s="117">
        <f t="shared" si="98"/>
        <v>3.0569999999999999</v>
      </c>
      <c r="H317" s="117">
        <f t="shared" si="105"/>
        <v>3.0720000000000001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88"/>
        <v>1</v>
      </c>
      <c r="L317" s="10">
        <f t="shared" si="101"/>
        <v>3.9682800000000014</v>
      </c>
      <c r="M317" s="126">
        <f t="shared" si="104"/>
        <v>2.4</v>
      </c>
      <c r="N317" s="126">
        <f t="shared" si="80"/>
        <v>2.4</v>
      </c>
      <c r="O317" s="126">
        <f>IF(OR($B$22=constants!$B$60,AND(I317&gt;$B$12,$B$12&lt;&gt;-1)),O316+(N317-O316)*$O$74,O316+(L317-O316)*$O$74)</f>
        <v>2.4</v>
      </c>
      <c r="P317" s="126">
        <f t="shared" si="82"/>
        <v>2.38</v>
      </c>
      <c r="Q317" s="123">
        <f t="shared" si="102"/>
        <v>2</v>
      </c>
      <c r="R317" s="123">
        <f t="shared" si="89"/>
        <v>2</v>
      </c>
      <c r="S317" s="3">
        <f t="shared" si="99"/>
        <v>0</v>
      </c>
      <c r="T317" s="3">
        <f t="shared" si="99"/>
        <v>0</v>
      </c>
      <c r="U317" s="3">
        <f t="shared" si="99"/>
        <v>0</v>
      </c>
      <c r="V317" s="3">
        <f t="shared" si="90"/>
        <v>0</v>
      </c>
      <c r="W317" s="3">
        <f t="shared" si="91"/>
        <v>0</v>
      </c>
      <c r="X317" s="3">
        <f t="shared" si="92"/>
        <v>0</v>
      </c>
      <c r="Y317" s="3">
        <f t="shared" si="84"/>
        <v>0</v>
      </c>
      <c r="Z317" s="3">
        <f t="shared" si="85"/>
        <v>0</v>
      </c>
      <c r="AA317" s="3">
        <f t="shared" si="86"/>
        <v>0</v>
      </c>
    </row>
    <row r="318" spans="1:27" x14ac:dyDescent="0.25">
      <c r="A318" s="3">
        <f t="shared" si="81"/>
        <v>1</v>
      </c>
      <c r="B318" s="113">
        <f t="shared" si="87"/>
        <v>2.4199999999999924</v>
      </c>
      <c r="C318" s="117">
        <f t="shared" si="100"/>
        <v>3.9653600000000013</v>
      </c>
      <c r="D318" s="117">
        <f t="shared" si="106"/>
        <v>3.9803600000000015</v>
      </c>
      <c r="E318" s="117">
        <f t="shared" si="97"/>
        <v>3.9536800000000007</v>
      </c>
      <c r="F318" s="117">
        <f t="shared" si="103"/>
        <v>3.9686800000000009</v>
      </c>
      <c r="G318" s="117">
        <f t="shared" si="98"/>
        <v>3.056</v>
      </c>
      <c r="H318" s="117">
        <f t="shared" si="105"/>
        <v>3.0710000000000002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88"/>
        <v>1</v>
      </c>
      <c r="L318" s="10">
        <f t="shared" si="101"/>
        <v>3.9653600000000013</v>
      </c>
      <c r="M318" s="126">
        <f t="shared" si="104"/>
        <v>2.4</v>
      </c>
      <c r="N318" s="126">
        <f t="shared" si="80"/>
        <v>2.4</v>
      </c>
      <c r="O318" s="126">
        <f>IF(OR($B$22=constants!$B$60,AND(I318&gt;$B$12,$B$12&lt;&gt;-1)),O317+(N318-O317)*$O$74,O317+(L318-O317)*$O$74)</f>
        <v>2.4</v>
      </c>
      <c r="P318" s="126">
        <f t="shared" si="82"/>
        <v>2.38</v>
      </c>
      <c r="Q318" s="123">
        <f t="shared" si="102"/>
        <v>2</v>
      </c>
      <c r="R318" s="123">
        <f t="shared" si="89"/>
        <v>2</v>
      </c>
      <c r="S318" s="3">
        <f t="shared" si="99"/>
        <v>0</v>
      </c>
      <c r="T318" s="3">
        <f t="shared" si="99"/>
        <v>0</v>
      </c>
      <c r="U318" s="3">
        <f t="shared" si="99"/>
        <v>0</v>
      </c>
      <c r="V318" s="3">
        <f t="shared" si="90"/>
        <v>0</v>
      </c>
      <c r="W318" s="3">
        <f t="shared" si="91"/>
        <v>0</v>
      </c>
      <c r="X318" s="3">
        <f t="shared" si="92"/>
        <v>0</v>
      </c>
      <c r="Y318" s="3">
        <f t="shared" si="84"/>
        <v>0</v>
      </c>
      <c r="Z318" s="3">
        <f t="shared" si="85"/>
        <v>0</v>
      </c>
      <c r="AA318" s="3">
        <f t="shared" si="86"/>
        <v>0</v>
      </c>
    </row>
    <row r="319" spans="1:27" x14ac:dyDescent="0.25">
      <c r="A319" s="3">
        <f t="shared" si="81"/>
        <v>1</v>
      </c>
      <c r="B319" s="113">
        <f t="shared" si="87"/>
        <v>2.4299999999999922</v>
      </c>
      <c r="C319" s="117">
        <f t="shared" si="100"/>
        <v>3.9624400000000017</v>
      </c>
      <c r="D319" s="117">
        <f t="shared" si="106"/>
        <v>3.9774400000000019</v>
      </c>
      <c r="E319" s="117">
        <f t="shared" si="97"/>
        <v>3.952220000000001</v>
      </c>
      <c r="F319" s="117">
        <f t="shared" si="103"/>
        <v>3.9672200000000011</v>
      </c>
      <c r="G319" s="117">
        <f t="shared" si="98"/>
        <v>3.0550000000000002</v>
      </c>
      <c r="H319" s="117">
        <f t="shared" si="105"/>
        <v>3.0700000000000003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88"/>
        <v>1</v>
      </c>
      <c r="L319" s="10">
        <f t="shared" si="101"/>
        <v>3.9624400000000017</v>
      </c>
      <c r="M319" s="126">
        <f t="shared" si="104"/>
        <v>2.4</v>
      </c>
      <c r="N319" s="126">
        <f t="shared" si="80"/>
        <v>2.4</v>
      </c>
      <c r="O319" s="126">
        <f>IF(OR($B$22=constants!$B$60,AND(I319&gt;$B$12,$B$12&lt;&gt;-1)),O318+(N319-O318)*$O$74,O318+(L319-O318)*$O$74)</f>
        <v>2.4</v>
      </c>
      <c r="P319" s="126">
        <f t="shared" si="82"/>
        <v>2.38</v>
      </c>
      <c r="Q319" s="123">
        <f t="shared" si="102"/>
        <v>2</v>
      </c>
      <c r="R319" s="123">
        <f t="shared" si="89"/>
        <v>2</v>
      </c>
      <c r="S319" s="3">
        <f t="shared" si="99"/>
        <v>0</v>
      </c>
      <c r="T319" s="3">
        <f t="shared" si="99"/>
        <v>0</v>
      </c>
      <c r="U319" s="3">
        <f t="shared" si="99"/>
        <v>0</v>
      </c>
      <c r="V319" s="3">
        <f t="shared" si="90"/>
        <v>0</v>
      </c>
      <c r="W319" s="3">
        <f t="shared" si="91"/>
        <v>0</v>
      </c>
      <c r="X319" s="3">
        <f t="shared" si="92"/>
        <v>0</v>
      </c>
      <c r="Y319" s="3">
        <f t="shared" si="84"/>
        <v>0</v>
      </c>
      <c r="Z319" s="3">
        <f t="shared" si="85"/>
        <v>0</v>
      </c>
      <c r="AA319" s="3">
        <f t="shared" si="86"/>
        <v>0</v>
      </c>
    </row>
    <row r="320" spans="1:27" x14ac:dyDescent="0.25">
      <c r="A320" s="3">
        <f t="shared" si="81"/>
        <v>1</v>
      </c>
      <c r="B320" s="113">
        <f t="shared" si="87"/>
        <v>2.439999999999992</v>
      </c>
      <c r="C320" s="117">
        <f t="shared" si="100"/>
        <v>3.9595200000000017</v>
      </c>
      <c r="D320" s="117">
        <f t="shared" si="106"/>
        <v>3.9745200000000018</v>
      </c>
      <c r="E320" s="117">
        <f t="shared" si="97"/>
        <v>3.9507600000000007</v>
      </c>
      <c r="F320" s="117">
        <f t="shared" si="103"/>
        <v>3.9657600000000008</v>
      </c>
      <c r="G320" s="117">
        <f t="shared" si="98"/>
        <v>3.0540000000000003</v>
      </c>
      <c r="H320" s="117">
        <f t="shared" si="105"/>
        <v>3.0690000000000004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88"/>
        <v>1</v>
      </c>
      <c r="L320" s="10">
        <f t="shared" si="101"/>
        <v>3.9595200000000017</v>
      </c>
      <c r="M320" s="126">
        <f t="shared" si="104"/>
        <v>2.4</v>
      </c>
      <c r="N320" s="126">
        <f t="shared" si="80"/>
        <v>2.4</v>
      </c>
      <c r="O320" s="126">
        <f>IF(OR($B$22=constants!$B$60,AND(I320&gt;$B$12,$B$12&lt;&gt;-1)),O319+(N320-O319)*$O$74,O319+(L320-O319)*$O$74)</f>
        <v>2.4</v>
      </c>
      <c r="P320" s="126">
        <f t="shared" si="82"/>
        <v>2.38</v>
      </c>
      <c r="Q320" s="123">
        <f t="shared" si="102"/>
        <v>2</v>
      </c>
      <c r="R320" s="123">
        <f t="shared" si="89"/>
        <v>2</v>
      </c>
      <c r="S320" s="3">
        <f t="shared" si="99"/>
        <v>0</v>
      </c>
      <c r="T320" s="3">
        <f t="shared" si="99"/>
        <v>0</v>
      </c>
      <c r="U320" s="3">
        <f t="shared" si="99"/>
        <v>0</v>
      </c>
      <c r="V320" s="3">
        <f t="shared" si="90"/>
        <v>0</v>
      </c>
      <c r="W320" s="3">
        <f t="shared" si="91"/>
        <v>0</v>
      </c>
      <c r="X320" s="3">
        <f t="shared" si="92"/>
        <v>0</v>
      </c>
      <c r="Y320" s="3">
        <f t="shared" si="84"/>
        <v>0</v>
      </c>
      <c r="Z320" s="3">
        <f t="shared" si="85"/>
        <v>0</v>
      </c>
      <c r="AA320" s="3">
        <f t="shared" si="86"/>
        <v>0</v>
      </c>
    </row>
    <row r="321" spans="1:27" x14ac:dyDescent="0.25">
      <c r="A321" s="3">
        <f t="shared" si="81"/>
        <v>1</v>
      </c>
      <c r="B321" s="113">
        <f t="shared" si="87"/>
        <v>2.4499999999999917</v>
      </c>
      <c r="C321" s="117">
        <f t="shared" si="100"/>
        <v>3.9566000000000017</v>
      </c>
      <c r="D321" s="117">
        <f t="shared" si="106"/>
        <v>3.9716000000000018</v>
      </c>
      <c r="E321" s="117">
        <f t="shared" si="97"/>
        <v>3.9493000000000009</v>
      </c>
      <c r="F321" s="117">
        <f t="shared" si="103"/>
        <v>3.964300000000001</v>
      </c>
      <c r="G321" s="117">
        <f t="shared" si="98"/>
        <v>3.0530000000000004</v>
      </c>
      <c r="H321" s="117">
        <f t="shared" si="105"/>
        <v>3.0680000000000005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88"/>
        <v>1</v>
      </c>
      <c r="L321" s="10">
        <f t="shared" si="101"/>
        <v>3.9566000000000017</v>
      </c>
      <c r="M321" s="126">
        <f t="shared" si="104"/>
        <v>2.4</v>
      </c>
      <c r="N321" s="126">
        <f t="shared" si="80"/>
        <v>2.4</v>
      </c>
      <c r="O321" s="126">
        <f>IF(OR($B$22=constants!$B$60,AND(I321&gt;$B$12,$B$12&lt;&gt;-1)),O320+(N321-O320)*$O$74,O320+(L321-O320)*$O$74)</f>
        <v>2.4</v>
      </c>
      <c r="P321" s="126">
        <f t="shared" si="82"/>
        <v>2.38</v>
      </c>
      <c r="Q321" s="123">
        <f t="shared" si="102"/>
        <v>2</v>
      </c>
      <c r="R321" s="123">
        <f t="shared" si="89"/>
        <v>2</v>
      </c>
      <c r="S321" s="3">
        <f t="shared" si="99"/>
        <v>0</v>
      </c>
      <c r="T321" s="3">
        <f t="shared" si="99"/>
        <v>0</v>
      </c>
      <c r="U321" s="3">
        <f t="shared" si="99"/>
        <v>0</v>
      </c>
      <c r="V321" s="3">
        <f t="shared" si="90"/>
        <v>0</v>
      </c>
      <c r="W321" s="3">
        <f t="shared" si="91"/>
        <v>0</v>
      </c>
      <c r="X321" s="3">
        <f t="shared" si="92"/>
        <v>0</v>
      </c>
      <c r="Y321" s="3">
        <f t="shared" si="84"/>
        <v>0</v>
      </c>
      <c r="Z321" s="3">
        <f t="shared" si="85"/>
        <v>0</v>
      </c>
      <c r="AA321" s="3">
        <f t="shared" si="86"/>
        <v>0</v>
      </c>
    </row>
    <row r="322" spans="1:27" x14ac:dyDescent="0.25">
      <c r="A322" s="3">
        <f t="shared" si="81"/>
        <v>1</v>
      </c>
      <c r="B322" s="113">
        <f t="shared" si="87"/>
        <v>2.4599999999999915</v>
      </c>
      <c r="C322" s="117">
        <f t="shared" si="100"/>
        <v>3.9536800000000016</v>
      </c>
      <c r="D322" s="117">
        <f t="shared" si="106"/>
        <v>3.9686800000000018</v>
      </c>
      <c r="E322" s="117">
        <f t="shared" si="97"/>
        <v>3.9478400000000011</v>
      </c>
      <c r="F322" s="117">
        <f t="shared" si="103"/>
        <v>3.9628400000000013</v>
      </c>
      <c r="G322" s="117">
        <f t="shared" si="98"/>
        <v>3.052</v>
      </c>
      <c r="H322" s="117">
        <f t="shared" si="105"/>
        <v>3.0670000000000002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88"/>
        <v>1</v>
      </c>
      <c r="L322" s="10">
        <f t="shared" si="101"/>
        <v>3.9536800000000016</v>
      </c>
      <c r="M322" s="126">
        <f t="shared" si="104"/>
        <v>2.4</v>
      </c>
      <c r="N322" s="126">
        <f t="shared" ref="N322:N376" si="107">IF(M322&gt;I322,L322,M322)</f>
        <v>2.4</v>
      </c>
      <c r="O322" s="126">
        <f>IF(OR($B$22=constants!$B$60,AND(I322&gt;$B$12,$B$12&lt;&gt;-1)),O321+(N322-O321)*$O$74,O321+(L322-O321)*$O$74)</f>
        <v>2.4</v>
      </c>
      <c r="P322" s="126">
        <f t="shared" si="82"/>
        <v>2.38</v>
      </c>
      <c r="Q322" s="123">
        <f t="shared" si="102"/>
        <v>2</v>
      </c>
      <c r="R322" s="123">
        <f t="shared" si="89"/>
        <v>2</v>
      </c>
      <c r="S322" s="3">
        <f t="shared" si="99"/>
        <v>0</v>
      </c>
      <c r="T322" s="3">
        <f t="shared" si="99"/>
        <v>0</v>
      </c>
      <c r="U322" s="3">
        <f t="shared" si="99"/>
        <v>0</v>
      </c>
      <c r="V322" s="3">
        <f t="shared" si="90"/>
        <v>0</v>
      </c>
      <c r="W322" s="3">
        <f t="shared" si="91"/>
        <v>0</v>
      </c>
      <c r="X322" s="3">
        <f t="shared" si="92"/>
        <v>0</v>
      </c>
      <c r="Y322" s="3">
        <f t="shared" si="84"/>
        <v>0</v>
      </c>
      <c r="Z322" s="3">
        <f t="shared" si="85"/>
        <v>0</v>
      </c>
      <c r="AA322" s="3">
        <f t="shared" si="86"/>
        <v>0</v>
      </c>
    </row>
    <row r="323" spans="1:27" x14ac:dyDescent="0.25">
      <c r="A323" s="3">
        <f t="shared" si="81"/>
        <v>1</v>
      </c>
      <c r="B323" s="113">
        <f t="shared" si="87"/>
        <v>2.4699999999999913</v>
      </c>
      <c r="C323" s="117">
        <f t="shared" si="100"/>
        <v>3.9507600000000016</v>
      </c>
      <c r="D323" s="117">
        <f t="shared" si="106"/>
        <v>3.9657600000000017</v>
      </c>
      <c r="E323" s="117">
        <f t="shared" si="97"/>
        <v>3.9463800000000009</v>
      </c>
      <c r="F323" s="117">
        <f t="shared" si="103"/>
        <v>3.961380000000001</v>
      </c>
      <c r="G323" s="117">
        <f t="shared" si="98"/>
        <v>3.0510000000000002</v>
      </c>
      <c r="H323" s="117">
        <f t="shared" si="105"/>
        <v>3.0660000000000003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88"/>
        <v>1</v>
      </c>
      <c r="L323" s="10">
        <f t="shared" si="101"/>
        <v>3.9507600000000016</v>
      </c>
      <c r="M323" s="126">
        <f t="shared" si="104"/>
        <v>2.4</v>
      </c>
      <c r="N323" s="126">
        <f t="shared" si="107"/>
        <v>2.4</v>
      </c>
      <c r="O323" s="126">
        <f>IF(OR($B$22=constants!$B$60,AND(I323&gt;$B$12,$B$12&lt;&gt;-1)),O322+(N323-O322)*$O$74,O322+(L323-O322)*$O$74)</f>
        <v>2.4</v>
      </c>
      <c r="P323" s="126">
        <f t="shared" si="82"/>
        <v>2.38</v>
      </c>
      <c r="Q323" s="123">
        <f t="shared" si="102"/>
        <v>2</v>
      </c>
      <c r="R323" s="123">
        <f t="shared" si="89"/>
        <v>2</v>
      </c>
      <c r="S323" s="3">
        <f t="shared" si="99"/>
        <v>0</v>
      </c>
      <c r="T323" s="3">
        <f t="shared" si="99"/>
        <v>0</v>
      </c>
      <c r="U323" s="3">
        <f t="shared" si="99"/>
        <v>0</v>
      </c>
      <c r="V323" s="3">
        <f t="shared" si="90"/>
        <v>0</v>
      </c>
      <c r="W323" s="3">
        <f t="shared" si="91"/>
        <v>0</v>
      </c>
      <c r="X323" s="3">
        <f t="shared" si="92"/>
        <v>0</v>
      </c>
      <c r="Y323" s="3">
        <f t="shared" si="84"/>
        <v>0</v>
      </c>
      <c r="Z323" s="3">
        <f t="shared" si="85"/>
        <v>0</v>
      </c>
      <c r="AA323" s="3">
        <f t="shared" si="86"/>
        <v>0</v>
      </c>
    </row>
    <row r="324" spans="1:27" x14ac:dyDescent="0.25">
      <c r="A324" s="3">
        <f t="shared" si="81"/>
        <v>1</v>
      </c>
      <c r="B324" s="113">
        <f t="shared" si="87"/>
        <v>2.4799999999999911</v>
      </c>
      <c r="C324" s="117">
        <f t="shared" si="100"/>
        <v>3.947840000000002</v>
      </c>
      <c r="D324" s="117">
        <f t="shared" si="106"/>
        <v>3.9628400000000021</v>
      </c>
      <c r="E324" s="117">
        <f t="shared" si="97"/>
        <v>3.9449200000000011</v>
      </c>
      <c r="F324" s="117">
        <f t="shared" si="103"/>
        <v>3.9599200000000012</v>
      </c>
      <c r="G324" s="117">
        <f t="shared" si="98"/>
        <v>3.0500000000000003</v>
      </c>
      <c r="H324" s="117">
        <f t="shared" si="105"/>
        <v>3.0650000000000004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88"/>
        <v>1</v>
      </c>
      <c r="L324" s="10">
        <f t="shared" si="101"/>
        <v>3.947840000000002</v>
      </c>
      <c r="M324" s="126">
        <f t="shared" si="104"/>
        <v>2.4</v>
      </c>
      <c r="N324" s="126">
        <f t="shared" si="107"/>
        <v>2.4</v>
      </c>
      <c r="O324" s="126">
        <f>IF(OR($B$22=constants!$B$60,AND(I324&gt;$B$12,$B$12&lt;&gt;-1)),O323+(N324-O323)*$O$74,O323+(L324-O323)*$O$74)</f>
        <v>2.4</v>
      </c>
      <c r="P324" s="126">
        <f t="shared" si="82"/>
        <v>2.38</v>
      </c>
      <c r="Q324" s="123">
        <f t="shared" si="102"/>
        <v>2</v>
      </c>
      <c r="R324" s="123">
        <f t="shared" si="89"/>
        <v>2</v>
      </c>
      <c r="S324" s="3">
        <f t="shared" si="99"/>
        <v>0</v>
      </c>
      <c r="T324" s="3">
        <f t="shared" si="99"/>
        <v>0</v>
      </c>
      <c r="U324" s="3">
        <f t="shared" si="99"/>
        <v>0</v>
      </c>
      <c r="V324" s="3">
        <f t="shared" si="90"/>
        <v>0</v>
      </c>
      <c r="W324" s="3">
        <f t="shared" si="91"/>
        <v>0</v>
      </c>
      <c r="X324" s="3">
        <f t="shared" si="92"/>
        <v>0</v>
      </c>
      <c r="Y324" s="3">
        <f t="shared" si="84"/>
        <v>0</v>
      </c>
      <c r="Z324" s="3">
        <f t="shared" si="85"/>
        <v>0</v>
      </c>
      <c r="AA324" s="3">
        <f t="shared" si="86"/>
        <v>0</v>
      </c>
    </row>
    <row r="325" spans="1:27" x14ac:dyDescent="0.25">
      <c r="A325" s="3">
        <f t="shared" si="81"/>
        <v>1</v>
      </c>
      <c r="B325" s="113">
        <f t="shared" si="87"/>
        <v>2.4899999999999909</v>
      </c>
      <c r="C325" s="117">
        <f t="shared" si="100"/>
        <v>3.944920000000002</v>
      </c>
      <c r="D325" s="117">
        <f t="shared" si="106"/>
        <v>3.9599200000000021</v>
      </c>
      <c r="E325" s="117">
        <f t="shared" si="97"/>
        <v>3.9434600000000009</v>
      </c>
      <c r="F325" s="117">
        <f t="shared" si="103"/>
        <v>3.958460000000001</v>
      </c>
      <c r="G325" s="117">
        <f t="shared" si="98"/>
        <v>3.0490000000000004</v>
      </c>
      <c r="H325" s="117">
        <f t="shared" si="105"/>
        <v>3.0640000000000005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88"/>
        <v>1</v>
      </c>
      <c r="L325" s="10">
        <f t="shared" si="101"/>
        <v>3.944920000000002</v>
      </c>
      <c r="M325" s="126">
        <f t="shared" si="104"/>
        <v>2.4</v>
      </c>
      <c r="N325" s="126">
        <f t="shared" si="107"/>
        <v>2.4</v>
      </c>
      <c r="O325" s="126">
        <f>IF(OR($B$22=constants!$B$60,AND(I325&gt;$B$12,$B$12&lt;&gt;-1)),O324+(N325-O324)*$O$74,O324+(L325-O324)*$O$74)</f>
        <v>2.4</v>
      </c>
      <c r="P325" s="126">
        <f t="shared" si="82"/>
        <v>2.38</v>
      </c>
      <c r="Q325" s="123">
        <f t="shared" si="102"/>
        <v>2</v>
      </c>
      <c r="R325" s="123">
        <f t="shared" si="89"/>
        <v>2</v>
      </c>
      <c r="S325" s="3">
        <f t="shared" si="99"/>
        <v>0</v>
      </c>
      <c r="T325" s="3">
        <f t="shared" si="99"/>
        <v>0</v>
      </c>
      <c r="U325" s="3">
        <f t="shared" si="99"/>
        <v>0</v>
      </c>
      <c r="V325" s="3">
        <f t="shared" si="90"/>
        <v>0</v>
      </c>
      <c r="W325" s="3">
        <f t="shared" si="91"/>
        <v>0</v>
      </c>
      <c r="X325" s="3">
        <f t="shared" si="92"/>
        <v>0</v>
      </c>
      <c r="Y325" s="3">
        <f t="shared" si="84"/>
        <v>0</v>
      </c>
      <c r="Z325" s="3">
        <f t="shared" si="85"/>
        <v>0</v>
      </c>
      <c r="AA325" s="3">
        <f t="shared" si="86"/>
        <v>0</v>
      </c>
    </row>
    <row r="326" spans="1:27" x14ac:dyDescent="0.25">
      <c r="A326" s="3">
        <f t="shared" si="81"/>
        <v>1</v>
      </c>
      <c r="B326" s="113">
        <f t="shared" si="87"/>
        <v>2.4999999999999907</v>
      </c>
      <c r="C326" s="117">
        <f>$D$41*B326+$D$42</f>
        <v>3.9419999999999966</v>
      </c>
      <c r="D326" s="117">
        <f t="shared" si="106"/>
        <v>3.9569999999999967</v>
      </c>
      <c r="E326" s="117">
        <f>$K$19*$B326+$K$20</f>
        <v>3.9419999999999984</v>
      </c>
      <c r="F326" s="117">
        <f t="shared" si="103"/>
        <v>3.9569999999999985</v>
      </c>
      <c r="G326" s="117">
        <f t="shared" si="98"/>
        <v>3.0480000000000005</v>
      </c>
      <c r="H326" s="117">
        <f t="shared" si="105"/>
        <v>3.0630000000000006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88"/>
        <v>1</v>
      </c>
      <c r="L326" s="10">
        <f t="shared" si="101"/>
        <v>3.9419999999999966</v>
      </c>
      <c r="M326" s="126">
        <f t="shared" si="104"/>
        <v>2.4</v>
      </c>
      <c r="N326" s="126">
        <f t="shared" si="107"/>
        <v>2.4</v>
      </c>
      <c r="O326" s="126">
        <f>IF(OR($B$22=constants!$B$60,AND(I326&gt;$B$12,$B$12&lt;&gt;-1)),O325+(N326-O325)*$O$74,O325+(L326-O325)*$O$74)</f>
        <v>2.4</v>
      </c>
      <c r="P326" s="126">
        <f t="shared" si="82"/>
        <v>2.38</v>
      </c>
      <c r="Q326" s="123">
        <f t="shared" si="102"/>
        <v>2</v>
      </c>
      <c r="R326" s="123">
        <f t="shared" si="89"/>
        <v>2</v>
      </c>
      <c r="S326" s="3">
        <f t="shared" si="99"/>
        <v>0</v>
      </c>
      <c r="T326" s="3">
        <f t="shared" si="99"/>
        <v>0</v>
      </c>
      <c r="U326" s="3">
        <f t="shared" si="99"/>
        <v>0</v>
      </c>
      <c r="V326" s="3">
        <f t="shared" si="90"/>
        <v>0</v>
      </c>
      <c r="W326" s="3">
        <f t="shared" si="91"/>
        <v>0</v>
      </c>
      <c r="X326" s="3">
        <f t="shared" si="92"/>
        <v>0</v>
      </c>
      <c r="Y326" s="3">
        <f t="shared" si="84"/>
        <v>0</v>
      </c>
      <c r="Z326" s="3">
        <f t="shared" si="85"/>
        <v>0</v>
      </c>
      <c r="AA326" s="3">
        <f t="shared" si="86"/>
        <v>0</v>
      </c>
    </row>
    <row r="327" spans="1:27" x14ac:dyDescent="0.25">
      <c r="A327" s="3">
        <f t="shared" si="81"/>
        <v>1</v>
      </c>
      <c r="B327" s="113">
        <f t="shared" si="87"/>
        <v>2.5099999999999905</v>
      </c>
      <c r="C327" s="117">
        <f t="shared" ref="C327:C350" si="108">$D$41*B327+$D$42</f>
        <v>3.9449199999999967</v>
      </c>
      <c r="D327" s="117">
        <f t="shared" si="106"/>
        <v>3.9599199999999968</v>
      </c>
      <c r="E327" s="117">
        <f t="shared" ref="E327:E376" si="109">$K$19*$B327+$K$20</f>
        <v>3.9434599999999982</v>
      </c>
      <c r="F327" s="117">
        <f t="shared" si="103"/>
        <v>3.9584599999999983</v>
      </c>
      <c r="G327" s="117">
        <f t="shared" si="98"/>
        <v>3.0470000000000002</v>
      </c>
      <c r="H327" s="117">
        <f t="shared" si="105"/>
        <v>3.0620000000000003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88"/>
        <v>1</v>
      </c>
      <c r="L327" s="10">
        <f t="shared" si="101"/>
        <v>3.9449199999999967</v>
      </c>
      <c r="M327" s="126">
        <f t="shared" si="104"/>
        <v>2.4</v>
      </c>
      <c r="N327" s="126">
        <f t="shared" si="107"/>
        <v>2.4</v>
      </c>
      <c r="O327" s="126">
        <f>IF(OR($B$22=constants!$B$60,AND(I327&gt;$B$12,$B$12&lt;&gt;-1)),O326+(N327-O326)*$O$74,O326+(L327-O326)*$O$74)</f>
        <v>2.4</v>
      </c>
      <c r="P327" s="126">
        <f t="shared" si="82"/>
        <v>2.38</v>
      </c>
      <c r="Q327" s="123">
        <f t="shared" si="102"/>
        <v>2</v>
      </c>
      <c r="R327" s="123">
        <f t="shared" si="89"/>
        <v>2</v>
      </c>
      <c r="S327" s="3">
        <f t="shared" si="99"/>
        <v>0</v>
      </c>
      <c r="T327" s="3">
        <f t="shared" si="99"/>
        <v>0</v>
      </c>
      <c r="U327" s="3">
        <f t="shared" si="99"/>
        <v>0</v>
      </c>
      <c r="V327" s="3">
        <f t="shared" si="90"/>
        <v>0</v>
      </c>
      <c r="W327" s="3">
        <f t="shared" si="91"/>
        <v>0</v>
      </c>
      <c r="X327" s="3">
        <f t="shared" si="92"/>
        <v>0</v>
      </c>
      <c r="Y327" s="3">
        <f t="shared" si="84"/>
        <v>0</v>
      </c>
      <c r="Z327" s="3">
        <f t="shared" si="85"/>
        <v>0</v>
      </c>
      <c r="AA327" s="3">
        <f t="shared" si="86"/>
        <v>0</v>
      </c>
    </row>
    <row r="328" spans="1:27" x14ac:dyDescent="0.25">
      <c r="A328" s="3">
        <f t="shared" si="81"/>
        <v>1</v>
      </c>
      <c r="B328" s="113">
        <f t="shared" si="87"/>
        <v>2.5199999999999902</v>
      </c>
      <c r="C328" s="117">
        <f t="shared" si="108"/>
        <v>3.9478399999999967</v>
      </c>
      <c r="D328" s="117">
        <f t="shared" si="106"/>
        <v>3.9628399999999968</v>
      </c>
      <c r="E328" s="117">
        <f t="shared" si="109"/>
        <v>3.9449199999999984</v>
      </c>
      <c r="F328" s="117">
        <f t="shared" si="103"/>
        <v>3.9599199999999986</v>
      </c>
      <c r="G328" s="117">
        <f t="shared" si="98"/>
        <v>3.0460000000000003</v>
      </c>
      <c r="H328" s="117">
        <f t="shared" si="105"/>
        <v>3.0610000000000004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88"/>
        <v>1</v>
      </c>
      <c r="L328" s="10">
        <f t="shared" si="101"/>
        <v>3.9478399999999967</v>
      </c>
      <c r="M328" s="126">
        <f t="shared" si="104"/>
        <v>2.4</v>
      </c>
      <c r="N328" s="126">
        <f t="shared" si="107"/>
        <v>2.4</v>
      </c>
      <c r="O328" s="126">
        <f>IF(OR($B$22=constants!$B$60,AND(I328&gt;$B$12,$B$12&lt;&gt;-1)),O327+(N328-O327)*$O$74,O327+(L328-O327)*$O$74)</f>
        <v>2.4</v>
      </c>
      <c r="P328" s="126">
        <f t="shared" si="82"/>
        <v>2.38</v>
      </c>
      <c r="Q328" s="123">
        <f t="shared" si="102"/>
        <v>2</v>
      </c>
      <c r="R328" s="123">
        <f t="shared" si="89"/>
        <v>2</v>
      </c>
      <c r="S328" s="3">
        <f t="shared" si="99"/>
        <v>0</v>
      </c>
      <c r="T328" s="3">
        <f t="shared" si="99"/>
        <v>0</v>
      </c>
      <c r="U328" s="3">
        <f t="shared" si="99"/>
        <v>0</v>
      </c>
      <c r="V328" s="3">
        <f t="shared" si="90"/>
        <v>0</v>
      </c>
      <c r="W328" s="3">
        <f t="shared" si="91"/>
        <v>0</v>
      </c>
      <c r="X328" s="3">
        <f t="shared" si="92"/>
        <v>0</v>
      </c>
      <c r="Y328" s="3">
        <f t="shared" si="84"/>
        <v>0</v>
      </c>
      <c r="Z328" s="3">
        <f t="shared" si="85"/>
        <v>0</v>
      </c>
      <c r="AA328" s="3">
        <f t="shared" si="86"/>
        <v>0</v>
      </c>
    </row>
    <row r="329" spans="1:27" x14ac:dyDescent="0.25">
      <c r="A329" s="3">
        <f t="shared" si="81"/>
        <v>1</v>
      </c>
      <c r="B329" s="113">
        <f t="shared" si="87"/>
        <v>2.52999999999999</v>
      </c>
      <c r="C329" s="117">
        <f t="shared" si="108"/>
        <v>3.9507599999999963</v>
      </c>
      <c r="D329" s="117">
        <f t="shared" si="106"/>
        <v>3.9657599999999964</v>
      </c>
      <c r="E329" s="117">
        <f t="shared" si="109"/>
        <v>3.9463799999999982</v>
      </c>
      <c r="F329" s="117">
        <f t="shared" si="103"/>
        <v>3.9613799999999983</v>
      </c>
      <c r="G329" s="117">
        <f t="shared" si="98"/>
        <v>3.0450000000000004</v>
      </c>
      <c r="H329" s="117">
        <f t="shared" si="105"/>
        <v>3.0600000000000005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88"/>
        <v>1</v>
      </c>
      <c r="L329" s="10">
        <f t="shared" si="101"/>
        <v>3.9507599999999963</v>
      </c>
      <c r="M329" s="126">
        <f t="shared" si="104"/>
        <v>2.4</v>
      </c>
      <c r="N329" s="126">
        <f t="shared" si="107"/>
        <v>2.4</v>
      </c>
      <c r="O329" s="126">
        <f>IF(OR($B$22=constants!$B$60,AND(I329&gt;$B$12,$B$12&lt;&gt;-1)),O328+(N329-O328)*$O$74,O328+(L329-O328)*$O$74)</f>
        <v>2.4</v>
      </c>
      <c r="P329" s="126">
        <f t="shared" si="82"/>
        <v>2.38</v>
      </c>
      <c r="Q329" s="123">
        <f t="shared" si="102"/>
        <v>2</v>
      </c>
      <c r="R329" s="123">
        <f t="shared" si="89"/>
        <v>2</v>
      </c>
      <c r="S329" s="3">
        <f t="shared" si="99"/>
        <v>0</v>
      </c>
      <c r="T329" s="3">
        <f t="shared" si="99"/>
        <v>0</v>
      </c>
      <c r="U329" s="3">
        <f t="shared" si="99"/>
        <v>0</v>
      </c>
      <c r="V329" s="3">
        <f t="shared" si="90"/>
        <v>0</v>
      </c>
      <c r="W329" s="3">
        <f t="shared" si="91"/>
        <v>0</v>
      </c>
      <c r="X329" s="3">
        <f t="shared" si="92"/>
        <v>0</v>
      </c>
      <c r="Y329" s="3">
        <f t="shared" si="84"/>
        <v>0</v>
      </c>
      <c r="Z329" s="3">
        <f t="shared" si="85"/>
        <v>0</v>
      </c>
      <c r="AA329" s="3">
        <f t="shared" si="86"/>
        <v>0</v>
      </c>
    </row>
    <row r="330" spans="1:27" x14ac:dyDescent="0.25">
      <c r="A330" s="3">
        <f t="shared" si="81"/>
        <v>1</v>
      </c>
      <c r="B330" s="113">
        <f t="shared" si="87"/>
        <v>2.5399999999999898</v>
      </c>
      <c r="C330" s="117">
        <f t="shared" si="108"/>
        <v>3.9536799999999963</v>
      </c>
      <c r="D330" s="117">
        <f t="shared" si="106"/>
        <v>3.9686799999999964</v>
      </c>
      <c r="E330" s="117">
        <f t="shared" si="109"/>
        <v>3.9478399999999985</v>
      </c>
      <c r="F330" s="117">
        <f t="shared" si="103"/>
        <v>3.9628399999999986</v>
      </c>
      <c r="G330" s="117">
        <f t="shared" si="98"/>
        <v>3.0440000000000005</v>
      </c>
      <c r="H330" s="117">
        <f t="shared" si="105"/>
        <v>3.0590000000000006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88"/>
        <v>1</v>
      </c>
      <c r="L330" s="10">
        <f t="shared" si="101"/>
        <v>3.9536799999999963</v>
      </c>
      <c r="M330" s="126">
        <f t="shared" si="104"/>
        <v>2.4</v>
      </c>
      <c r="N330" s="126">
        <f t="shared" si="107"/>
        <v>2.4</v>
      </c>
      <c r="O330" s="126">
        <f>IF(OR($B$22=constants!$B$60,AND(I330&gt;$B$12,$B$12&lt;&gt;-1)),O329+(N330-O329)*$O$74,O329+(L330-O329)*$O$74)</f>
        <v>2.4</v>
      </c>
      <c r="P330" s="126">
        <f t="shared" si="82"/>
        <v>2.38</v>
      </c>
      <c r="Q330" s="123">
        <f t="shared" si="102"/>
        <v>2</v>
      </c>
      <c r="R330" s="123">
        <f t="shared" si="89"/>
        <v>2</v>
      </c>
      <c r="S330" s="3">
        <f t="shared" si="99"/>
        <v>0</v>
      </c>
      <c r="T330" s="3">
        <f t="shared" si="99"/>
        <v>0</v>
      </c>
      <c r="U330" s="3">
        <f t="shared" si="99"/>
        <v>0</v>
      </c>
      <c r="V330" s="3">
        <f t="shared" si="90"/>
        <v>0</v>
      </c>
      <c r="W330" s="3">
        <f t="shared" si="91"/>
        <v>0</v>
      </c>
      <c r="X330" s="3">
        <f t="shared" si="92"/>
        <v>0</v>
      </c>
      <c r="Y330" s="3">
        <f t="shared" si="84"/>
        <v>0</v>
      </c>
      <c r="Z330" s="3">
        <f t="shared" si="85"/>
        <v>0</v>
      </c>
      <c r="AA330" s="3">
        <f t="shared" si="86"/>
        <v>0</v>
      </c>
    </row>
    <row r="331" spans="1:27" x14ac:dyDescent="0.25">
      <c r="A331" s="3">
        <f t="shared" si="81"/>
        <v>1</v>
      </c>
      <c r="B331" s="113">
        <f t="shared" si="87"/>
        <v>2.5499999999999896</v>
      </c>
      <c r="C331" s="117">
        <f t="shared" si="108"/>
        <v>3.9565999999999963</v>
      </c>
      <c r="D331" s="117">
        <f t="shared" si="106"/>
        <v>3.9715999999999965</v>
      </c>
      <c r="E331" s="117">
        <f t="shared" si="109"/>
        <v>3.9492999999999983</v>
      </c>
      <c r="F331" s="117">
        <f t="shared" si="103"/>
        <v>3.9642999999999984</v>
      </c>
      <c r="G331" s="117">
        <f t="shared" si="98"/>
        <v>3.0430000000000006</v>
      </c>
      <c r="H331" s="117">
        <f t="shared" si="105"/>
        <v>3.0580000000000007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88"/>
        <v>1</v>
      </c>
      <c r="L331" s="10">
        <f t="shared" si="101"/>
        <v>3.9565999999999963</v>
      </c>
      <c r="M331" s="126">
        <f t="shared" si="104"/>
        <v>2.4</v>
      </c>
      <c r="N331" s="126">
        <f t="shared" si="107"/>
        <v>2.4</v>
      </c>
      <c r="O331" s="126">
        <f>IF(OR($B$22=constants!$B$60,AND(I331&gt;$B$12,$B$12&lt;&gt;-1)),O330+(N331-O330)*$O$74,O330+(L331-O330)*$O$74)</f>
        <v>2.4</v>
      </c>
      <c r="P331" s="126">
        <f t="shared" si="82"/>
        <v>2.38</v>
      </c>
      <c r="Q331" s="123">
        <f t="shared" si="102"/>
        <v>2</v>
      </c>
      <c r="R331" s="123">
        <f t="shared" si="89"/>
        <v>2</v>
      </c>
      <c r="S331" s="3">
        <f t="shared" si="99"/>
        <v>0</v>
      </c>
      <c r="T331" s="3">
        <f t="shared" si="99"/>
        <v>0</v>
      </c>
      <c r="U331" s="3">
        <f t="shared" si="99"/>
        <v>0</v>
      </c>
      <c r="V331" s="3">
        <f t="shared" si="90"/>
        <v>0</v>
      </c>
      <c r="W331" s="3">
        <f t="shared" si="91"/>
        <v>0</v>
      </c>
      <c r="X331" s="3">
        <f t="shared" si="92"/>
        <v>0</v>
      </c>
      <c r="Y331" s="3">
        <f t="shared" si="84"/>
        <v>0</v>
      </c>
      <c r="Z331" s="3">
        <f t="shared" si="85"/>
        <v>0</v>
      </c>
      <c r="AA331" s="3">
        <f t="shared" si="86"/>
        <v>0</v>
      </c>
    </row>
    <row r="332" spans="1:27" x14ac:dyDescent="0.25">
      <c r="A332" s="3">
        <f t="shared" si="81"/>
        <v>1</v>
      </c>
      <c r="B332" s="113">
        <f t="shared" si="87"/>
        <v>2.5599999999999894</v>
      </c>
      <c r="C332" s="117">
        <f t="shared" si="108"/>
        <v>3.9595199999999959</v>
      </c>
      <c r="D332" s="117">
        <f t="shared" si="106"/>
        <v>3.9745199999999961</v>
      </c>
      <c r="E332" s="117">
        <f t="shared" si="109"/>
        <v>3.9507599999999981</v>
      </c>
      <c r="F332" s="117">
        <f t="shared" si="103"/>
        <v>3.9657599999999982</v>
      </c>
      <c r="G332" s="117">
        <f t="shared" si="98"/>
        <v>3.0420000000000003</v>
      </c>
      <c r="H332" s="117">
        <f t="shared" si="105"/>
        <v>3.0570000000000004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88"/>
        <v>1</v>
      </c>
      <c r="L332" s="10">
        <f t="shared" si="101"/>
        <v>3.9595199999999959</v>
      </c>
      <c r="M332" s="126">
        <f t="shared" si="104"/>
        <v>2.4</v>
      </c>
      <c r="N332" s="126">
        <f t="shared" si="107"/>
        <v>2.4</v>
      </c>
      <c r="O332" s="126">
        <f>IF(OR($B$22=constants!$B$60,AND(I332&gt;$B$12,$B$12&lt;&gt;-1)),O331+(N332-O331)*$O$74,O331+(L332-O331)*$O$74)</f>
        <v>2.4</v>
      </c>
      <c r="P332" s="126">
        <f t="shared" si="82"/>
        <v>2.38</v>
      </c>
      <c r="Q332" s="123">
        <f t="shared" si="102"/>
        <v>2</v>
      </c>
      <c r="R332" s="123">
        <f t="shared" si="89"/>
        <v>2</v>
      </c>
      <c r="S332" s="3">
        <f t="shared" si="99"/>
        <v>0</v>
      </c>
      <c r="T332" s="3">
        <f t="shared" si="99"/>
        <v>0</v>
      </c>
      <c r="U332" s="3">
        <f t="shared" si="99"/>
        <v>0</v>
      </c>
      <c r="V332" s="3">
        <f t="shared" si="90"/>
        <v>0</v>
      </c>
      <c r="W332" s="3">
        <f t="shared" si="91"/>
        <v>0</v>
      </c>
      <c r="X332" s="3">
        <f t="shared" si="92"/>
        <v>0</v>
      </c>
      <c r="Y332" s="3">
        <f t="shared" si="84"/>
        <v>0</v>
      </c>
      <c r="Z332" s="3">
        <f t="shared" si="85"/>
        <v>0</v>
      </c>
      <c r="AA332" s="3">
        <f t="shared" si="86"/>
        <v>0</v>
      </c>
    </row>
    <row r="333" spans="1:27" x14ac:dyDescent="0.25">
      <c r="A333" s="3">
        <f t="shared" ref="A333:A376" si="110">IF(B333&lt;=100,1,IF(B333&lt;=200,2,3))</f>
        <v>1</v>
      </c>
      <c r="B333" s="113">
        <f t="shared" si="87"/>
        <v>2.5699999999999892</v>
      </c>
      <c r="C333" s="117">
        <f t="shared" si="108"/>
        <v>3.962439999999996</v>
      </c>
      <c r="D333" s="117">
        <f t="shared" si="106"/>
        <v>3.9774399999999961</v>
      </c>
      <c r="E333" s="117">
        <f t="shared" si="109"/>
        <v>3.9522199999999983</v>
      </c>
      <c r="F333" s="117">
        <f t="shared" si="103"/>
        <v>3.9672199999999984</v>
      </c>
      <c r="G333" s="117">
        <f t="shared" si="98"/>
        <v>3.0410000000000004</v>
      </c>
      <c r="H333" s="117">
        <f t="shared" si="105"/>
        <v>3.0560000000000005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88"/>
        <v>1</v>
      </c>
      <c r="L333" s="10">
        <f t="shared" si="101"/>
        <v>3.962439999999996</v>
      </c>
      <c r="M333" s="126">
        <f t="shared" si="104"/>
        <v>2.4</v>
      </c>
      <c r="N333" s="126">
        <f t="shared" si="107"/>
        <v>2.4</v>
      </c>
      <c r="O333" s="126">
        <f>IF(OR($B$22=constants!$B$60,AND(I333&gt;$B$12,$B$12&lt;&gt;-1)),O332+(N333-O332)*$O$74,O332+(L333-O332)*$O$74)</f>
        <v>2.4</v>
      </c>
      <c r="P333" s="126">
        <f t="shared" ref="P333:P376" si="111">IF(O333=0,0,O333-$P$72)</f>
        <v>2.38</v>
      </c>
      <c r="Q333" s="123">
        <f t="shared" si="102"/>
        <v>2</v>
      </c>
      <c r="R333" s="123">
        <f t="shared" si="89"/>
        <v>2</v>
      </c>
      <c r="S333" s="3">
        <f t="shared" ref="S333:U376" si="112">S$72*IF(S$71=0,$L333,IF(S$71=1,$R333,IF($B$12=-1,$L333,IF($I333&gt;$B$12,$R333,$L333))))</f>
        <v>0</v>
      </c>
      <c r="T333" s="3">
        <f t="shared" si="112"/>
        <v>0</v>
      </c>
      <c r="U333" s="3">
        <f t="shared" si="112"/>
        <v>0</v>
      </c>
      <c r="V333" s="3">
        <f t="shared" si="90"/>
        <v>0</v>
      </c>
      <c r="W333" s="3">
        <f t="shared" si="91"/>
        <v>0</v>
      </c>
      <c r="X333" s="3">
        <f t="shared" si="92"/>
        <v>0</v>
      </c>
      <c r="Y333" s="3">
        <f t="shared" ref="Y333:Y376" si="113">IF(V333=0,0,V333-Y$72)</f>
        <v>0</v>
      </c>
      <c r="Z333" s="3">
        <f t="shared" ref="Z333:Z376" si="114">IF(W333=0,0,W333-Z$72)</f>
        <v>0</v>
      </c>
      <c r="AA333" s="3">
        <f t="shared" ref="AA333:AA376" si="115">IF(X333=0,0,X333-AA$72)</f>
        <v>0</v>
      </c>
    </row>
    <row r="334" spans="1:27" x14ac:dyDescent="0.25">
      <c r="A334" s="3">
        <f t="shared" si="110"/>
        <v>1</v>
      </c>
      <c r="B334" s="113">
        <f t="shared" ref="B334:B376" si="116">B333+0.01</f>
        <v>2.579999999999989</v>
      </c>
      <c r="C334" s="117">
        <f t="shared" si="108"/>
        <v>3.965359999999996</v>
      </c>
      <c r="D334" s="117">
        <f t="shared" si="106"/>
        <v>3.9803599999999961</v>
      </c>
      <c r="E334" s="117">
        <f t="shared" si="109"/>
        <v>3.9536799999999981</v>
      </c>
      <c r="F334" s="117">
        <f t="shared" si="103"/>
        <v>3.9686799999999982</v>
      </c>
      <c r="G334" s="117">
        <f t="shared" si="98"/>
        <v>3.0400000000000005</v>
      </c>
      <c r="H334" s="117">
        <f t="shared" si="105"/>
        <v>3.0550000000000006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7">IF(AND(I334&gt;$B$16,K333=0),1,IF(AND(I334&lt;$B$17,K333=1),0,K333))</f>
        <v>1</v>
      </c>
      <c r="L334" s="10">
        <f t="shared" si="101"/>
        <v>3.965359999999996</v>
      </c>
      <c r="M334" s="126">
        <f t="shared" si="104"/>
        <v>2.4</v>
      </c>
      <c r="N334" s="126">
        <f t="shared" si="107"/>
        <v>2.4</v>
      </c>
      <c r="O334" s="126">
        <f>IF(OR($B$22=constants!$B$60,AND(I334&gt;$B$12,$B$12&lt;&gt;-1)),O333+(N334-O333)*$O$74,O333+(L334-O333)*$O$74)</f>
        <v>2.4</v>
      </c>
      <c r="P334" s="126">
        <f t="shared" si="111"/>
        <v>2.38</v>
      </c>
      <c r="Q334" s="123">
        <f t="shared" si="102"/>
        <v>2</v>
      </c>
      <c r="R334" s="123">
        <f t="shared" ref="R334:R376" si="118">IF(Q334&gt;I334,I334,Q334)</f>
        <v>2</v>
      </c>
      <c r="S334" s="3">
        <f t="shared" si="112"/>
        <v>0</v>
      </c>
      <c r="T334" s="3">
        <f t="shared" si="112"/>
        <v>0</v>
      </c>
      <c r="U334" s="3">
        <f t="shared" si="112"/>
        <v>0</v>
      </c>
      <c r="V334" s="3">
        <f t="shared" ref="V334:V376" si="119">V333+(S334-V$72-V333)*V$74</f>
        <v>0</v>
      </c>
      <c r="W334" s="3">
        <f t="shared" ref="W334:W376" si="120">W333+(T334-W$72-W333)*W$74</f>
        <v>0</v>
      </c>
      <c r="X334" s="3">
        <f t="shared" ref="X334:X376" si="121">X333+(U334-X$72-X333)*X$74</f>
        <v>0</v>
      </c>
      <c r="Y334" s="3">
        <f t="shared" si="113"/>
        <v>0</v>
      </c>
      <c r="Z334" s="3">
        <f t="shared" si="114"/>
        <v>0</v>
      </c>
      <c r="AA334" s="3">
        <f t="shared" si="115"/>
        <v>0</v>
      </c>
    </row>
    <row r="335" spans="1:27" x14ac:dyDescent="0.25">
      <c r="A335" s="3">
        <f t="shared" si="110"/>
        <v>1</v>
      </c>
      <c r="B335" s="113">
        <f t="shared" si="116"/>
        <v>2.5899999999999888</v>
      </c>
      <c r="C335" s="117">
        <f t="shared" si="108"/>
        <v>3.968279999999996</v>
      </c>
      <c r="D335" s="117">
        <f t="shared" si="106"/>
        <v>3.9832799999999962</v>
      </c>
      <c r="E335" s="117">
        <f t="shared" si="109"/>
        <v>3.9551399999999983</v>
      </c>
      <c r="F335" s="117">
        <f t="shared" si="103"/>
        <v>3.9701399999999984</v>
      </c>
      <c r="G335" s="117">
        <f t="shared" si="98"/>
        <v>3.0390000000000006</v>
      </c>
      <c r="H335" s="117">
        <f t="shared" si="105"/>
        <v>3.0540000000000007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7"/>
        <v>1</v>
      </c>
      <c r="L335" s="10">
        <f t="shared" si="101"/>
        <v>3.968279999999996</v>
      </c>
      <c r="M335" s="126">
        <f t="shared" si="104"/>
        <v>2.4</v>
      </c>
      <c r="N335" s="126">
        <f t="shared" si="107"/>
        <v>2.4</v>
      </c>
      <c r="O335" s="126">
        <f>IF(OR($B$22=constants!$B$60,AND(I335&gt;$B$12,$B$12&lt;&gt;-1)),O334+(N335-O334)*$O$74,O334+(L335-O334)*$O$74)</f>
        <v>2.4</v>
      </c>
      <c r="P335" s="126">
        <f t="shared" si="111"/>
        <v>2.38</v>
      </c>
      <c r="Q335" s="123">
        <f t="shared" si="102"/>
        <v>2</v>
      </c>
      <c r="R335" s="123">
        <f t="shared" si="118"/>
        <v>2</v>
      </c>
      <c r="S335" s="3">
        <f t="shared" si="112"/>
        <v>0</v>
      </c>
      <c r="T335" s="3">
        <f t="shared" si="112"/>
        <v>0</v>
      </c>
      <c r="U335" s="3">
        <f t="shared" si="112"/>
        <v>0</v>
      </c>
      <c r="V335" s="3">
        <f t="shared" si="119"/>
        <v>0</v>
      </c>
      <c r="W335" s="3">
        <f t="shared" si="120"/>
        <v>0</v>
      </c>
      <c r="X335" s="3">
        <f t="shared" si="121"/>
        <v>0</v>
      </c>
      <c r="Y335" s="3">
        <f t="shared" si="113"/>
        <v>0</v>
      </c>
      <c r="Z335" s="3">
        <f t="shared" si="114"/>
        <v>0</v>
      </c>
      <c r="AA335" s="3">
        <f t="shared" si="115"/>
        <v>0</v>
      </c>
    </row>
    <row r="336" spans="1:27" x14ac:dyDescent="0.25">
      <c r="A336" s="3">
        <f t="shared" si="110"/>
        <v>1</v>
      </c>
      <c r="B336" s="113">
        <f t="shared" si="116"/>
        <v>2.5999999999999885</v>
      </c>
      <c r="C336" s="117">
        <f t="shared" si="108"/>
        <v>3.9711999999999961</v>
      </c>
      <c r="D336" s="117">
        <f t="shared" si="106"/>
        <v>3.9861999999999962</v>
      </c>
      <c r="E336" s="117">
        <f t="shared" si="109"/>
        <v>3.9565999999999981</v>
      </c>
      <c r="F336" s="117">
        <f t="shared" si="103"/>
        <v>3.9715999999999982</v>
      </c>
      <c r="G336" s="117">
        <f t="shared" si="98"/>
        <v>3.0380000000000007</v>
      </c>
      <c r="H336" s="117">
        <f t="shared" si="105"/>
        <v>3.0530000000000008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7"/>
        <v>1</v>
      </c>
      <c r="L336" s="10">
        <f t="shared" si="101"/>
        <v>3.9711999999999961</v>
      </c>
      <c r="M336" s="126">
        <f t="shared" si="104"/>
        <v>2.4</v>
      </c>
      <c r="N336" s="126">
        <f t="shared" si="107"/>
        <v>2.4</v>
      </c>
      <c r="O336" s="126">
        <f>IF(OR($B$22=constants!$B$60,AND(I336&gt;$B$12,$B$12&lt;&gt;-1)),O335+(N336-O335)*$O$74,O335+(L336-O335)*$O$74)</f>
        <v>2.4</v>
      </c>
      <c r="P336" s="126">
        <f t="shared" si="111"/>
        <v>2.38</v>
      </c>
      <c r="Q336" s="123">
        <f t="shared" si="102"/>
        <v>2</v>
      </c>
      <c r="R336" s="123">
        <f t="shared" si="118"/>
        <v>2</v>
      </c>
      <c r="S336" s="3">
        <f t="shared" si="112"/>
        <v>0</v>
      </c>
      <c r="T336" s="3">
        <f t="shared" si="112"/>
        <v>0</v>
      </c>
      <c r="U336" s="3">
        <f t="shared" si="112"/>
        <v>0</v>
      </c>
      <c r="V336" s="3">
        <f t="shared" si="119"/>
        <v>0</v>
      </c>
      <c r="W336" s="3">
        <f t="shared" si="120"/>
        <v>0</v>
      </c>
      <c r="X336" s="3">
        <f t="shared" si="121"/>
        <v>0</v>
      </c>
      <c r="Y336" s="3">
        <f t="shared" si="113"/>
        <v>0</v>
      </c>
      <c r="Z336" s="3">
        <f t="shared" si="114"/>
        <v>0</v>
      </c>
      <c r="AA336" s="3">
        <f t="shared" si="115"/>
        <v>0</v>
      </c>
    </row>
    <row r="337" spans="1:27" x14ac:dyDescent="0.25">
      <c r="A337" s="3">
        <f t="shared" si="110"/>
        <v>1</v>
      </c>
      <c r="B337" s="113">
        <f t="shared" si="116"/>
        <v>2.6099999999999883</v>
      </c>
      <c r="C337" s="117">
        <f t="shared" si="108"/>
        <v>3.9741199999999957</v>
      </c>
      <c r="D337" s="117">
        <f t="shared" si="106"/>
        <v>3.9891199999999958</v>
      </c>
      <c r="E337" s="117">
        <f t="shared" si="109"/>
        <v>3.9580599999999979</v>
      </c>
      <c r="F337" s="117">
        <f t="shared" ref="F337:F368" si="122">E337+$F$74</f>
        <v>3.973059999999998</v>
      </c>
      <c r="G337" s="117">
        <f t="shared" si="98"/>
        <v>3.0370000000000004</v>
      </c>
      <c r="H337" s="117">
        <f t="shared" si="105"/>
        <v>3.0520000000000005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7"/>
        <v>1</v>
      </c>
      <c r="L337" s="10">
        <f t="shared" si="101"/>
        <v>3.9741199999999957</v>
      </c>
      <c r="M337" s="126">
        <f t="shared" si="104"/>
        <v>2.4</v>
      </c>
      <c r="N337" s="126">
        <f t="shared" si="107"/>
        <v>2.4</v>
      </c>
      <c r="O337" s="126">
        <f>IF(OR($B$22=constants!$B$60,AND(I337&gt;$B$12,$B$12&lt;&gt;-1)),O336+(N337-O336)*$O$74,O336+(L337-O336)*$O$74)</f>
        <v>2.4</v>
      </c>
      <c r="P337" s="126">
        <f t="shared" si="111"/>
        <v>2.38</v>
      </c>
      <c r="Q337" s="123">
        <f t="shared" si="102"/>
        <v>2</v>
      </c>
      <c r="R337" s="123">
        <f t="shared" si="118"/>
        <v>2</v>
      </c>
      <c r="S337" s="3">
        <f t="shared" si="112"/>
        <v>0</v>
      </c>
      <c r="T337" s="3">
        <f t="shared" si="112"/>
        <v>0</v>
      </c>
      <c r="U337" s="3">
        <f t="shared" si="112"/>
        <v>0</v>
      </c>
      <c r="V337" s="3">
        <f t="shared" si="119"/>
        <v>0</v>
      </c>
      <c r="W337" s="3">
        <f t="shared" si="120"/>
        <v>0</v>
      </c>
      <c r="X337" s="3">
        <f t="shared" si="121"/>
        <v>0</v>
      </c>
      <c r="Y337" s="3">
        <f t="shared" si="113"/>
        <v>0</v>
      </c>
      <c r="Z337" s="3">
        <f t="shared" si="114"/>
        <v>0</v>
      </c>
      <c r="AA337" s="3">
        <f t="shared" si="115"/>
        <v>0</v>
      </c>
    </row>
    <row r="338" spans="1:27" x14ac:dyDescent="0.25">
      <c r="A338" s="3">
        <f t="shared" si="110"/>
        <v>1</v>
      </c>
      <c r="B338" s="113">
        <f t="shared" si="116"/>
        <v>2.6199999999999881</v>
      </c>
      <c r="C338" s="117">
        <f t="shared" si="108"/>
        <v>3.9770399999999957</v>
      </c>
      <c r="D338" s="117">
        <f t="shared" si="106"/>
        <v>3.9920399999999958</v>
      </c>
      <c r="E338" s="117">
        <f t="shared" si="109"/>
        <v>3.9595199999999982</v>
      </c>
      <c r="F338" s="117">
        <f t="shared" si="122"/>
        <v>3.9745199999999983</v>
      </c>
      <c r="G338" s="117">
        <f t="shared" si="98"/>
        <v>3.0360000000000005</v>
      </c>
      <c r="H338" s="117">
        <f t="shared" si="105"/>
        <v>3.0510000000000006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7"/>
        <v>1</v>
      </c>
      <c r="L338" s="10">
        <f t="shared" si="101"/>
        <v>3.9770399999999957</v>
      </c>
      <c r="M338" s="126">
        <f t="shared" si="104"/>
        <v>2.4</v>
      </c>
      <c r="N338" s="126">
        <f t="shared" si="107"/>
        <v>2.4</v>
      </c>
      <c r="O338" s="126">
        <f>IF(OR($B$22=constants!$B$60,AND(I338&gt;$B$12,$B$12&lt;&gt;-1)),O337+(N338-O337)*$O$74,O337+(L338-O337)*$O$74)</f>
        <v>2.4</v>
      </c>
      <c r="P338" s="126">
        <f t="shared" si="111"/>
        <v>2.38</v>
      </c>
      <c r="Q338" s="123">
        <f t="shared" si="102"/>
        <v>2</v>
      </c>
      <c r="R338" s="123">
        <f t="shared" si="118"/>
        <v>2</v>
      </c>
      <c r="S338" s="3">
        <f t="shared" si="112"/>
        <v>0</v>
      </c>
      <c r="T338" s="3">
        <f t="shared" si="112"/>
        <v>0</v>
      </c>
      <c r="U338" s="3">
        <f t="shared" si="112"/>
        <v>0</v>
      </c>
      <c r="V338" s="3">
        <f t="shared" si="119"/>
        <v>0</v>
      </c>
      <c r="W338" s="3">
        <f t="shared" si="120"/>
        <v>0</v>
      </c>
      <c r="X338" s="3">
        <f t="shared" si="121"/>
        <v>0</v>
      </c>
      <c r="Y338" s="3">
        <f t="shared" si="113"/>
        <v>0</v>
      </c>
      <c r="Z338" s="3">
        <f t="shared" si="114"/>
        <v>0</v>
      </c>
      <c r="AA338" s="3">
        <f t="shared" si="115"/>
        <v>0</v>
      </c>
    </row>
    <row r="339" spans="1:27" x14ac:dyDescent="0.25">
      <c r="A339" s="3">
        <f t="shared" si="110"/>
        <v>1</v>
      </c>
      <c r="B339" s="113">
        <f t="shared" si="116"/>
        <v>2.6299999999999879</v>
      </c>
      <c r="C339" s="117">
        <f t="shared" si="108"/>
        <v>3.9799599999999957</v>
      </c>
      <c r="D339" s="117">
        <f t="shared" si="106"/>
        <v>3.9949599999999958</v>
      </c>
      <c r="E339" s="117">
        <f t="shared" si="109"/>
        <v>3.9609799999999979</v>
      </c>
      <c r="F339" s="117">
        <f t="shared" si="122"/>
        <v>3.9759799999999981</v>
      </c>
      <c r="G339" s="117">
        <f t="shared" si="98"/>
        <v>3.0350000000000006</v>
      </c>
      <c r="H339" s="117">
        <f t="shared" si="105"/>
        <v>3.0500000000000007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7"/>
        <v>1</v>
      </c>
      <c r="L339" s="10">
        <f t="shared" si="101"/>
        <v>3.9799599999999957</v>
      </c>
      <c r="M339" s="126">
        <f t="shared" si="104"/>
        <v>2.4</v>
      </c>
      <c r="N339" s="126">
        <f t="shared" si="107"/>
        <v>2.4</v>
      </c>
      <c r="O339" s="126">
        <f>IF(OR($B$22=constants!$B$60,AND(I339&gt;$B$12,$B$12&lt;&gt;-1)),O338+(N339-O338)*$O$74,O338+(L339-O338)*$O$74)</f>
        <v>2.4</v>
      </c>
      <c r="P339" s="126">
        <f t="shared" si="111"/>
        <v>2.38</v>
      </c>
      <c r="Q339" s="123">
        <f t="shared" si="102"/>
        <v>2</v>
      </c>
      <c r="R339" s="123">
        <f t="shared" si="118"/>
        <v>2</v>
      </c>
      <c r="S339" s="3">
        <f t="shared" si="112"/>
        <v>0</v>
      </c>
      <c r="T339" s="3">
        <f t="shared" si="112"/>
        <v>0</v>
      </c>
      <c r="U339" s="3">
        <f t="shared" si="112"/>
        <v>0</v>
      </c>
      <c r="V339" s="3">
        <f t="shared" si="119"/>
        <v>0</v>
      </c>
      <c r="W339" s="3">
        <f t="shared" si="120"/>
        <v>0</v>
      </c>
      <c r="X339" s="3">
        <f t="shared" si="121"/>
        <v>0</v>
      </c>
      <c r="Y339" s="3">
        <f t="shared" si="113"/>
        <v>0</v>
      </c>
      <c r="Z339" s="3">
        <f t="shared" si="114"/>
        <v>0</v>
      </c>
      <c r="AA339" s="3">
        <f t="shared" si="115"/>
        <v>0</v>
      </c>
    </row>
    <row r="340" spans="1:27" x14ac:dyDescent="0.25">
      <c r="A340" s="3">
        <f t="shared" si="110"/>
        <v>1</v>
      </c>
      <c r="B340" s="113">
        <f t="shared" si="116"/>
        <v>2.6399999999999877</v>
      </c>
      <c r="C340" s="117">
        <f t="shared" si="108"/>
        <v>3.9828799999999958</v>
      </c>
      <c r="D340" s="117">
        <f t="shared" si="106"/>
        <v>3.9978799999999959</v>
      </c>
      <c r="E340" s="117">
        <f t="shared" si="109"/>
        <v>3.9624399999999977</v>
      </c>
      <c r="F340" s="117">
        <f t="shared" si="122"/>
        <v>3.9774399999999979</v>
      </c>
      <c r="G340" s="117">
        <f t="shared" si="98"/>
        <v>3.0340000000000007</v>
      </c>
      <c r="H340" s="117">
        <f t="shared" ref="H340:H376" si="123">$H$63*B340+$H$64</f>
        <v>3.0490000000000008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7"/>
        <v>1</v>
      </c>
      <c r="L340" s="10">
        <f t="shared" si="101"/>
        <v>3.9828799999999958</v>
      </c>
      <c r="M340" s="126">
        <f t="shared" si="104"/>
        <v>2.4</v>
      </c>
      <c r="N340" s="126">
        <f t="shared" si="107"/>
        <v>2.4</v>
      </c>
      <c r="O340" s="126">
        <f>IF(OR($B$22=constants!$B$60,AND(I340&gt;$B$12,$B$12&lt;&gt;-1)),O339+(N340-O339)*$O$74,O339+(L340-O339)*$O$74)</f>
        <v>2.4</v>
      </c>
      <c r="P340" s="126">
        <f t="shared" si="111"/>
        <v>2.38</v>
      </c>
      <c r="Q340" s="123">
        <f t="shared" si="102"/>
        <v>2</v>
      </c>
      <c r="R340" s="123">
        <f t="shared" si="118"/>
        <v>2</v>
      </c>
      <c r="S340" s="3">
        <f t="shared" si="112"/>
        <v>0</v>
      </c>
      <c r="T340" s="3">
        <f t="shared" si="112"/>
        <v>0</v>
      </c>
      <c r="U340" s="3">
        <f t="shared" si="112"/>
        <v>0</v>
      </c>
      <c r="V340" s="3">
        <f t="shared" si="119"/>
        <v>0</v>
      </c>
      <c r="W340" s="3">
        <f t="shared" si="120"/>
        <v>0</v>
      </c>
      <c r="X340" s="3">
        <f t="shared" si="121"/>
        <v>0</v>
      </c>
      <c r="Y340" s="3">
        <f t="shared" si="113"/>
        <v>0</v>
      </c>
      <c r="Z340" s="3">
        <f t="shared" si="114"/>
        <v>0</v>
      </c>
      <c r="AA340" s="3">
        <f t="shared" si="115"/>
        <v>0</v>
      </c>
    </row>
    <row r="341" spans="1:27" x14ac:dyDescent="0.25">
      <c r="A341" s="3">
        <f t="shared" si="110"/>
        <v>1</v>
      </c>
      <c r="B341" s="113">
        <f t="shared" si="116"/>
        <v>2.6499999999999875</v>
      </c>
      <c r="C341" s="117">
        <f t="shared" si="108"/>
        <v>3.9857999999999958</v>
      </c>
      <c r="D341" s="117">
        <f t="shared" ref="D341:D372" si="124">C341+$D$74</f>
        <v>4.0007999999999955</v>
      </c>
      <c r="E341" s="117">
        <f t="shared" si="109"/>
        <v>3.963899999999998</v>
      </c>
      <c r="F341" s="117">
        <f t="shared" si="122"/>
        <v>3.9788999999999981</v>
      </c>
      <c r="G341" s="117">
        <f t="shared" si="98"/>
        <v>3.0330000000000008</v>
      </c>
      <c r="H341" s="117">
        <f t="shared" si="123"/>
        <v>3.0480000000000009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7"/>
        <v>1</v>
      </c>
      <c r="L341" s="10">
        <f t="shared" si="101"/>
        <v>3.9857999999999958</v>
      </c>
      <c r="M341" s="126">
        <f t="shared" si="104"/>
        <v>2.4</v>
      </c>
      <c r="N341" s="126">
        <f t="shared" si="107"/>
        <v>2.4</v>
      </c>
      <c r="O341" s="126">
        <f>IF(OR($B$22=constants!$B$60,AND(I341&gt;$B$12,$B$12&lt;&gt;-1)),O340+(N341-O340)*$O$74,O340+(L341-O340)*$O$74)</f>
        <v>2.4</v>
      </c>
      <c r="P341" s="126">
        <f t="shared" si="111"/>
        <v>2.38</v>
      </c>
      <c r="Q341" s="123">
        <f t="shared" si="102"/>
        <v>2</v>
      </c>
      <c r="R341" s="123">
        <f t="shared" si="118"/>
        <v>2</v>
      </c>
      <c r="S341" s="3">
        <f t="shared" si="112"/>
        <v>0</v>
      </c>
      <c r="T341" s="3">
        <f t="shared" si="112"/>
        <v>0</v>
      </c>
      <c r="U341" s="3">
        <f t="shared" si="112"/>
        <v>0</v>
      </c>
      <c r="V341" s="3">
        <f t="shared" si="119"/>
        <v>0</v>
      </c>
      <c r="W341" s="3">
        <f t="shared" si="120"/>
        <v>0</v>
      </c>
      <c r="X341" s="3">
        <f t="shared" si="121"/>
        <v>0</v>
      </c>
      <c r="Y341" s="3">
        <f t="shared" si="113"/>
        <v>0</v>
      </c>
      <c r="Z341" s="3">
        <f t="shared" si="114"/>
        <v>0</v>
      </c>
      <c r="AA341" s="3">
        <f t="shared" si="115"/>
        <v>0</v>
      </c>
    </row>
    <row r="342" spans="1:27" x14ac:dyDescent="0.25">
      <c r="A342" s="3">
        <f t="shared" si="110"/>
        <v>1</v>
      </c>
      <c r="B342" s="113">
        <f t="shared" si="116"/>
        <v>2.6599999999999873</v>
      </c>
      <c r="C342" s="117">
        <f t="shared" si="108"/>
        <v>3.9887199999999954</v>
      </c>
      <c r="D342" s="117">
        <f t="shared" si="124"/>
        <v>4.0037199999999951</v>
      </c>
      <c r="E342" s="117">
        <f t="shared" si="109"/>
        <v>3.9653599999999978</v>
      </c>
      <c r="F342" s="117">
        <f t="shared" si="122"/>
        <v>3.9803599999999979</v>
      </c>
      <c r="G342" s="117">
        <f t="shared" ref="G342:G376" si="125">(H342-$H$74)/(1-EXP(-1/G$74))*(1-EXP(-$B342/G$74))</f>
        <v>3.0320000000000005</v>
      </c>
      <c r="H342" s="117">
        <f t="shared" si="123"/>
        <v>3.0470000000000006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7"/>
        <v>1</v>
      </c>
      <c r="L342" s="10">
        <f t="shared" si="101"/>
        <v>3.9887199999999954</v>
      </c>
      <c r="M342" s="126">
        <f t="shared" si="104"/>
        <v>2.4</v>
      </c>
      <c r="N342" s="126">
        <f t="shared" si="107"/>
        <v>2.4</v>
      </c>
      <c r="O342" s="126">
        <f>IF(OR($B$22=constants!$B$60,AND(I342&gt;$B$12,$B$12&lt;&gt;-1)),O341+(N342-O341)*$O$74,O341+(L342-O341)*$O$74)</f>
        <v>2.4</v>
      </c>
      <c r="P342" s="126">
        <f t="shared" si="111"/>
        <v>2.38</v>
      </c>
      <c r="Q342" s="123">
        <f t="shared" si="102"/>
        <v>2</v>
      </c>
      <c r="R342" s="123">
        <f t="shared" si="118"/>
        <v>2</v>
      </c>
      <c r="S342" s="3">
        <f t="shared" si="112"/>
        <v>0</v>
      </c>
      <c r="T342" s="3">
        <f t="shared" si="112"/>
        <v>0</v>
      </c>
      <c r="U342" s="3">
        <f t="shared" si="112"/>
        <v>0</v>
      </c>
      <c r="V342" s="3">
        <f t="shared" si="119"/>
        <v>0</v>
      </c>
      <c r="W342" s="3">
        <f t="shared" si="120"/>
        <v>0</v>
      </c>
      <c r="X342" s="3">
        <f t="shared" si="121"/>
        <v>0</v>
      </c>
      <c r="Y342" s="3">
        <f t="shared" si="113"/>
        <v>0</v>
      </c>
      <c r="Z342" s="3">
        <f t="shared" si="114"/>
        <v>0</v>
      </c>
      <c r="AA342" s="3">
        <f t="shared" si="115"/>
        <v>0</v>
      </c>
    </row>
    <row r="343" spans="1:27" x14ac:dyDescent="0.25">
      <c r="A343" s="3">
        <f t="shared" si="110"/>
        <v>1</v>
      </c>
      <c r="B343" s="113">
        <f t="shared" si="116"/>
        <v>2.6699999999999871</v>
      </c>
      <c r="C343" s="117">
        <f t="shared" si="108"/>
        <v>3.9916399999999954</v>
      </c>
      <c r="D343" s="117">
        <f t="shared" si="124"/>
        <v>4.0066399999999955</v>
      </c>
      <c r="E343" s="117">
        <f t="shared" si="109"/>
        <v>3.966819999999998</v>
      </c>
      <c r="F343" s="117">
        <f t="shared" si="122"/>
        <v>3.9818199999999981</v>
      </c>
      <c r="G343" s="117">
        <f t="shared" si="125"/>
        <v>3.0310000000000006</v>
      </c>
      <c r="H343" s="117">
        <f t="shared" si="123"/>
        <v>3.0460000000000007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7"/>
        <v>1</v>
      </c>
      <c r="L343" s="10">
        <f t="shared" si="101"/>
        <v>3.9916399999999954</v>
      </c>
      <c r="M343" s="126">
        <f t="shared" si="104"/>
        <v>2.4</v>
      </c>
      <c r="N343" s="126">
        <f t="shared" si="107"/>
        <v>2.4</v>
      </c>
      <c r="O343" s="126">
        <f>IF(OR($B$22=constants!$B$60,AND(I343&gt;$B$12,$B$12&lt;&gt;-1)),O342+(N343-O342)*$O$74,O342+(L343-O342)*$O$74)</f>
        <v>2.4</v>
      </c>
      <c r="P343" s="126">
        <f t="shared" si="111"/>
        <v>2.38</v>
      </c>
      <c r="Q343" s="123">
        <f t="shared" si="102"/>
        <v>2</v>
      </c>
      <c r="R343" s="123">
        <f t="shared" si="118"/>
        <v>2</v>
      </c>
      <c r="S343" s="3">
        <f t="shared" si="112"/>
        <v>0</v>
      </c>
      <c r="T343" s="3">
        <f t="shared" si="112"/>
        <v>0</v>
      </c>
      <c r="U343" s="3">
        <f t="shared" si="112"/>
        <v>0</v>
      </c>
      <c r="V343" s="3">
        <f t="shared" si="119"/>
        <v>0</v>
      </c>
      <c r="W343" s="3">
        <f t="shared" si="120"/>
        <v>0</v>
      </c>
      <c r="X343" s="3">
        <f t="shared" si="121"/>
        <v>0</v>
      </c>
      <c r="Y343" s="3">
        <f t="shared" si="113"/>
        <v>0</v>
      </c>
      <c r="Z343" s="3">
        <f t="shared" si="114"/>
        <v>0</v>
      </c>
      <c r="AA343" s="3">
        <f t="shared" si="115"/>
        <v>0</v>
      </c>
    </row>
    <row r="344" spans="1:27" x14ac:dyDescent="0.25">
      <c r="A344" s="3">
        <f t="shared" si="110"/>
        <v>1</v>
      </c>
      <c r="B344" s="113">
        <f t="shared" si="116"/>
        <v>2.6799999999999868</v>
      </c>
      <c r="C344" s="117">
        <f t="shared" si="108"/>
        <v>3.9945599999999954</v>
      </c>
      <c r="D344" s="117">
        <f t="shared" si="124"/>
        <v>4.0095599999999951</v>
      </c>
      <c r="E344" s="117">
        <f t="shared" si="109"/>
        <v>3.9682799999999978</v>
      </c>
      <c r="F344" s="117">
        <f t="shared" si="122"/>
        <v>3.9832799999999979</v>
      </c>
      <c r="G344" s="117">
        <f t="shared" si="125"/>
        <v>3.0300000000000007</v>
      </c>
      <c r="H344" s="117">
        <f t="shared" si="123"/>
        <v>3.0450000000000008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7"/>
        <v>1</v>
      </c>
      <c r="L344" s="10">
        <f t="shared" si="101"/>
        <v>3.9945599999999954</v>
      </c>
      <c r="M344" s="126">
        <f t="shared" si="104"/>
        <v>2.4</v>
      </c>
      <c r="N344" s="126">
        <f t="shared" si="107"/>
        <v>2.4</v>
      </c>
      <c r="O344" s="126">
        <f>IF(OR($B$22=constants!$B$60,AND(I344&gt;$B$12,$B$12&lt;&gt;-1)),O343+(N344-O343)*$O$74,O343+(L344-O343)*$O$74)</f>
        <v>2.4</v>
      </c>
      <c r="P344" s="126">
        <f t="shared" si="111"/>
        <v>2.38</v>
      </c>
      <c r="Q344" s="123">
        <f t="shared" si="102"/>
        <v>2</v>
      </c>
      <c r="R344" s="123">
        <f t="shared" si="118"/>
        <v>2</v>
      </c>
      <c r="S344" s="3">
        <f t="shared" si="112"/>
        <v>0</v>
      </c>
      <c r="T344" s="3">
        <f t="shared" si="112"/>
        <v>0</v>
      </c>
      <c r="U344" s="3">
        <f t="shared" si="112"/>
        <v>0</v>
      </c>
      <c r="V344" s="3">
        <f t="shared" si="119"/>
        <v>0</v>
      </c>
      <c r="W344" s="3">
        <f t="shared" si="120"/>
        <v>0</v>
      </c>
      <c r="X344" s="3">
        <f t="shared" si="121"/>
        <v>0</v>
      </c>
      <c r="Y344" s="3">
        <f t="shared" si="113"/>
        <v>0</v>
      </c>
      <c r="Z344" s="3">
        <f t="shared" si="114"/>
        <v>0</v>
      </c>
      <c r="AA344" s="3">
        <f t="shared" si="115"/>
        <v>0</v>
      </c>
    </row>
    <row r="345" spans="1:27" x14ac:dyDescent="0.25">
      <c r="A345" s="3">
        <f t="shared" si="110"/>
        <v>1</v>
      </c>
      <c r="B345" s="113">
        <f t="shared" si="116"/>
        <v>2.6899999999999866</v>
      </c>
      <c r="C345" s="117">
        <f t="shared" si="108"/>
        <v>3.9974799999999955</v>
      </c>
      <c r="D345" s="117">
        <f t="shared" si="124"/>
        <v>4.0124799999999956</v>
      </c>
      <c r="E345" s="117">
        <f t="shared" si="109"/>
        <v>3.9697399999999976</v>
      </c>
      <c r="F345" s="117">
        <f t="shared" si="122"/>
        <v>3.9847399999999977</v>
      </c>
      <c r="G345" s="117">
        <f t="shared" si="125"/>
        <v>3.0290000000000008</v>
      </c>
      <c r="H345" s="117">
        <f t="shared" si="123"/>
        <v>3.0440000000000009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7"/>
        <v>1</v>
      </c>
      <c r="L345" s="10">
        <f t="shared" si="101"/>
        <v>3.9974799999999955</v>
      </c>
      <c r="M345" s="126">
        <f t="shared" si="104"/>
        <v>2.4</v>
      </c>
      <c r="N345" s="126">
        <f t="shared" si="107"/>
        <v>2.4</v>
      </c>
      <c r="O345" s="126">
        <f>IF(OR($B$22=constants!$B$60,AND(I345&gt;$B$12,$B$12&lt;&gt;-1)),O344+(N345-O344)*$O$74,O344+(L345-O344)*$O$74)</f>
        <v>2.4</v>
      </c>
      <c r="P345" s="126">
        <f t="shared" si="111"/>
        <v>2.38</v>
      </c>
      <c r="Q345" s="123">
        <f t="shared" si="102"/>
        <v>2</v>
      </c>
      <c r="R345" s="123">
        <f t="shared" si="118"/>
        <v>2</v>
      </c>
      <c r="S345" s="3">
        <f t="shared" si="112"/>
        <v>0</v>
      </c>
      <c r="T345" s="3">
        <f t="shared" si="112"/>
        <v>0</v>
      </c>
      <c r="U345" s="3">
        <f t="shared" si="112"/>
        <v>0</v>
      </c>
      <c r="V345" s="3">
        <f t="shared" si="119"/>
        <v>0</v>
      </c>
      <c r="W345" s="3">
        <f t="shared" si="120"/>
        <v>0</v>
      </c>
      <c r="X345" s="3">
        <f t="shared" si="121"/>
        <v>0</v>
      </c>
      <c r="Y345" s="3">
        <f t="shared" si="113"/>
        <v>0</v>
      </c>
      <c r="Z345" s="3">
        <f t="shared" si="114"/>
        <v>0</v>
      </c>
      <c r="AA345" s="3">
        <f t="shared" si="115"/>
        <v>0</v>
      </c>
    </row>
    <row r="346" spans="1:27" x14ac:dyDescent="0.25">
      <c r="A346" s="3">
        <f t="shared" si="110"/>
        <v>1</v>
      </c>
      <c r="B346" s="113">
        <f t="shared" si="116"/>
        <v>2.6999999999999864</v>
      </c>
      <c r="C346" s="117">
        <f t="shared" si="108"/>
        <v>4.0003999999999955</v>
      </c>
      <c r="D346" s="117">
        <f t="shared" si="124"/>
        <v>4.0153999999999952</v>
      </c>
      <c r="E346" s="117">
        <f t="shared" si="109"/>
        <v>3.9711999999999978</v>
      </c>
      <c r="F346" s="117">
        <f t="shared" si="122"/>
        <v>3.986199999999998</v>
      </c>
      <c r="G346" s="117">
        <f t="shared" si="125"/>
        <v>3.0280000000000009</v>
      </c>
      <c r="H346" s="117">
        <f t="shared" si="123"/>
        <v>3.043000000000001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7"/>
        <v>1</v>
      </c>
      <c r="L346" s="10">
        <f t="shared" si="101"/>
        <v>4.0003999999999955</v>
      </c>
      <c r="M346" s="126">
        <f t="shared" si="104"/>
        <v>2.4</v>
      </c>
      <c r="N346" s="126">
        <f t="shared" si="107"/>
        <v>2.4</v>
      </c>
      <c r="O346" s="126">
        <f>IF(OR($B$22=constants!$B$60,AND(I346&gt;$B$12,$B$12&lt;&gt;-1)),O345+(N346-O345)*$O$74,O345+(L346-O345)*$O$74)</f>
        <v>2.4</v>
      </c>
      <c r="P346" s="126">
        <f t="shared" si="111"/>
        <v>2.38</v>
      </c>
      <c r="Q346" s="123">
        <f t="shared" si="102"/>
        <v>2</v>
      </c>
      <c r="R346" s="123">
        <f t="shared" si="118"/>
        <v>2</v>
      </c>
      <c r="S346" s="3">
        <f t="shared" si="112"/>
        <v>0</v>
      </c>
      <c r="T346" s="3">
        <f t="shared" si="112"/>
        <v>0</v>
      </c>
      <c r="U346" s="3">
        <f t="shared" si="112"/>
        <v>0</v>
      </c>
      <c r="V346" s="3">
        <f t="shared" si="119"/>
        <v>0</v>
      </c>
      <c r="W346" s="3">
        <f t="shared" si="120"/>
        <v>0</v>
      </c>
      <c r="X346" s="3">
        <f t="shared" si="121"/>
        <v>0</v>
      </c>
      <c r="Y346" s="3">
        <f t="shared" si="113"/>
        <v>0</v>
      </c>
      <c r="Z346" s="3">
        <f t="shared" si="114"/>
        <v>0</v>
      </c>
      <c r="AA346" s="3">
        <f t="shared" si="115"/>
        <v>0</v>
      </c>
    </row>
    <row r="347" spans="1:27" x14ac:dyDescent="0.25">
      <c r="A347" s="3">
        <f t="shared" si="110"/>
        <v>1</v>
      </c>
      <c r="B347" s="113">
        <f t="shared" si="116"/>
        <v>2.7099999999999862</v>
      </c>
      <c r="C347" s="117">
        <f t="shared" si="108"/>
        <v>4.0033199999999951</v>
      </c>
      <c r="D347" s="117">
        <f t="shared" si="124"/>
        <v>4.0183199999999948</v>
      </c>
      <c r="E347" s="117">
        <f t="shared" si="109"/>
        <v>3.9726599999999976</v>
      </c>
      <c r="F347" s="117">
        <f t="shared" si="122"/>
        <v>3.9876599999999978</v>
      </c>
      <c r="G347" s="117">
        <f t="shared" si="125"/>
        <v>3.0270000000000006</v>
      </c>
      <c r="H347" s="117">
        <f t="shared" si="123"/>
        <v>3.0420000000000007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7"/>
        <v>1</v>
      </c>
      <c r="L347" s="10">
        <f t="shared" si="101"/>
        <v>4.0033199999999951</v>
      </c>
      <c r="M347" s="126">
        <f t="shared" si="104"/>
        <v>2.4</v>
      </c>
      <c r="N347" s="126">
        <f t="shared" si="107"/>
        <v>2.4</v>
      </c>
      <c r="O347" s="126">
        <f>IF(OR($B$22=constants!$B$60,AND(I347&gt;$B$12,$B$12&lt;&gt;-1)),O346+(N347-O346)*$O$74,O346+(L347-O346)*$O$74)</f>
        <v>2.4</v>
      </c>
      <c r="P347" s="126">
        <f t="shared" si="111"/>
        <v>2.38</v>
      </c>
      <c r="Q347" s="123">
        <f t="shared" si="102"/>
        <v>2</v>
      </c>
      <c r="R347" s="123">
        <f t="shared" si="118"/>
        <v>2</v>
      </c>
      <c r="S347" s="3">
        <f t="shared" si="112"/>
        <v>0</v>
      </c>
      <c r="T347" s="3">
        <f t="shared" si="112"/>
        <v>0</v>
      </c>
      <c r="U347" s="3">
        <f t="shared" si="112"/>
        <v>0</v>
      </c>
      <c r="V347" s="3">
        <f t="shared" si="119"/>
        <v>0</v>
      </c>
      <c r="W347" s="3">
        <f t="shared" si="120"/>
        <v>0</v>
      </c>
      <c r="X347" s="3">
        <f t="shared" si="121"/>
        <v>0</v>
      </c>
      <c r="Y347" s="3">
        <f t="shared" si="113"/>
        <v>0</v>
      </c>
      <c r="Z347" s="3">
        <f t="shared" si="114"/>
        <v>0</v>
      </c>
      <c r="AA347" s="3">
        <f t="shared" si="115"/>
        <v>0</v>
      </c>
    </row>
    <row r="348" spans="1:27" x14ac:dyDescent="0.25">
      <c r="A348" s="3">
        <f t="shared" si="110"/>
        <v>1</v>
      </c>
      <c r="B348" s="113">
        <f t="shared" si="116"/>
        <v>2.719999999999986</v>
      </c>
      <c r="C348" s="117">
        <f t="shared" si="108"/>
        <v>4.0062399999999947</v>
      </c>
      <c r="D348" s="117">
        <f t="shared" si="124"/>
        <v>4.0212399999999944</v>
      </c>
      <c r="E348" s="117">
        <f t="shared" si="109"/>
        <v>3.9741199999999974</v>
      </c>
      <c r="F348" s="117">
        <f t="shared" si="122"/>
        <v>3.9891199999999976</v>
      </c>
      <c r="G348" s="117">
        <f t="shared" si="125"/>
        <v>3.0260000000000007</v>
      </c>
      <c r="H348" s="117">
        <f t="shared" si="123"/>
        <v>3.0410000000000008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7"/>
        <v>1</v>
      </c>
      <c r="L348" s="10">
        <f t="shared" si="101"/>
        <v>4.0062399999999947</v>
      </c>
      <c r="M348" s="126">
        <f t="shared" si="104"/>
        <v>2.4</v>
      </c>
      <c r="N348" s="126">
        <f t="shared" si="107"/>
        <v>2.4</v>
      </c>
      <c r="O348" s="126">
        <f>IF(OR($B$22=constants!$B$60,AND(I348&gt;$B$12,$B$12&lt;&gt;-1)),O347+(N348-O347)*$O$74,O347+(L348-O347)*$O$74)</f>
        <v>2.4</v>
      </c>
      <c r="P348" s="126">
        <f t="shared" si="111"/>
        <v>2.38</v>
      </c>
      <c r="Q348" s="123">
        <f t="shared" si="102"/>
        <v>2</v>
      </c>
      <c r="R348" s="123">
        <f t="shared" si="118"/>
        <v>2</v>
      </c>
      <c r="S348" s="3">
        <f t="shared" si="112"/>
        <v>0</v>
      </c>
      <c r="T348" s="3">
        <f t="shared" si="112"/>
        <v>0</v>
      </c>
      <c r="U348" s="3">
        <f t="shared" si="112"/>
        <v>0</v>
      </c>
      <c r="V348" s="3">
        <f t="shared" si="119"/>
        <v>0</v>
      </c>
      <c r="W348" s="3">
        <f t="shared" si="120"/>
        <v>0</v>
      </c>
      <c r="X348" s="3">
        <f t="shared" si="121"/>
        <v>0</v>
      </c>
      <c r="Y348" s="3">
        <f t="shared" si="113"/>
        <v>0</v>
      </c>
      <c r="Z348" s="3">
        <f t="shared" si="114"/>
        <v>0</v>
      </c>
      <c r="AA348" s="3">
        <f t="shared" si="115"/>
        <v>0</v>
      </c>
    </row>
    <row r="349" spans="1:27" x14ac:dyDescent="0.25">
      <c r="A349" s="3">
        <f t="shared" si="110"/>
        <v>1</v>
      </c>
      <c r="B349" s="113">
        <f t="shared" si="116"/>
        <v>2.7299999999999858</v>
      </c>
      <c r="C349" s="117">
        <f t="shared" si="108"/>
        <v>4.0091599999999952</v>
      </c>
      <c r="D349" s="117">
        <f t="shared" si="124"/>
        <v>4.0241599999999949</v>
      </c>
      <c r="E349" s="117">
        <f t="shared" si="109"/>
        <v>3.9755799999999977</v>
      </c>
      <c r="F349" s="117">
        <f t="shared" si="122"/>
        <v>3.9905799999999978</v>
      </c>
      <c r="G349" s="117">
        <f t="shared" si="125"/>
        <v>3.0250000000000008</v>
      </c>
      <c r="H349" s="117">
        <f t="shared" si="123"/>
        <v>3.0400000000000009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7"/>
        <v>1</v>
      </c>
      <c r="L349" s="10">
        <f t="shared" si="101"/>
        <v>4.0091599999999952</v>
      </c>
      <c r="M349" s="126">
        <f t="shared" si="104"/>
        <v>2.4</v>
      </c>
      <c r="N349" s="126">
        <f t="shared" si="107"/>
        <v>2.4</v>
      </c>
      <c r="O349" s="126">
        <f>IF(OR($B$22=constants!$B$60,AND(I349&gt;$B$12,$B$12&lt;&gt;-1)),O348+(N349-O348)*$O$74,O348+(L349-O348)*$O$74)</f>
        <v>2.4</v>
      </c>
      <c r="P349" s="126">
        <f t="shared" si="111"/>
        <v>2.38</v>
      </c>
      <c r="Q349" s="123">
        <f t="shared" si="102"/>
        <v>2</v>
      </c>
      <c r="R349" s="123">
        <f t="shared" si="118"/>
        <v>2</v>
      </c>
      <c r="S349" s="3">
        <f t="shared" si="112"/>
        <v>0</v>
      </c>
      <c r="T349" s="3">
        <f t="shared" si="112"/>
        <v>0</v>
      </c>
      <c r="U349" s="3">
        <f t="shared" si="112"/>
        <v>0</v>
      </c>
      <c r="V349" s="3">
        <f t="shared" si="119"/>
        <v>0</v>
      </c>
      <c r="W349" s="3">
        <f t="shared" si="120"/>
        <v>0</v>
      </c>
      <c r="X349" s="3">
        <f t="shared" si="121"/>
        <v>0</v>
      </c>
      <c r="Y349" s="3">
        <f t="shared" si="113"/>
        <v>0</v>
      </c>
      <c r="Z349" s="3">
        <f t="shared" si="114"/>
        <v>0</v>
      </c>
      <c r="AA349" s="3">
        <f t="shared" si="115"/>
        <v>0</v>
      </c>
    </row>
    <row r="350" spans="1:27" x14ac:dyDescent="0.25">
      <c r="A350" s="3">
        <f t="shared" si="110"/>
        <v>1</v>
      </c>
      <c r="B350" s="113">
        <f t="shared" si="116"/>
        <v>2.7399999999999856</v>
      </c>
      <c r="C350" s="117">
        <f t="shared" si="108"/>
        <v>4.0120799999999948</v>
      </c>
      <c r="D350" s="117">
        <f t="shared" si="124"/>
        <v>4.0270799999999944</v>
      </c>
      <c r="E350" s="117">
        <f t="shared" si="109"/>
        <v>3.9770399999999975</v>
      </c>
      <c r="F350" s="117">
        <f t="shared" si="122"/>
        <v>3.9920399999999976</v>
      </c>
      <c r="G350" s="117">
        <f t="shared" si="125"/>
        <v>3.0240000000000009</v>
      </c>
      <c r="H350" s="117">
        <f t="shared" si="123"/>
        <v>3.039000000000001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7"/>
        <v>1</v>
      </c>
      <c r="L350" s="10">
        <f t="shared" si="101"/>
        <v>4.0120799999999948</v>
      </c>
      <c r="M350" s="126">
        <f t="shared" si="104"/>
        <v>2.4</v>
      </c>
      <c r="N350" s="126">
        <f t="shared" si="107"/>
        <v>2.4</v>
      </c>
      <c r="O350" s="126">
        <f>IF(OR($B$22=constants!$B$60,AND(I350&gt;$B$12,$B$12&lt;&gt;-1)),O349+(N350-O349)*$O$74,O349+(L350-O349)*$O$74)</f>
        <v>2.4</v>
      </c>
      <c r="P350" s="126">
        <f t="shared" si="111"/>
        <v>2.38</v>
      </c>
      <c r="Q350" s="123">
        <f t="shared" si="102"/>
        <v>2</v>
      </c>
      <c r="R350" s="123">
        <f t="shared" si="118"/>
        <v>2</v>
      </c>
      <c r="S350" s="3">
        <f t="shared" si="112"/>
        <v>0</v>
      </c>
      <c r="T350" s="3">
        <f t="shared" si="112"/>
        <v>0</v>
      </c>
      <c r="U350" s="3">
        <f t="shared" si="112"/>
        <v>0</v>
      </c>
      <c r="V350" s="3">
        <f t="shared" si="119"/>
        <v>0</v>
      </c>
      <c r="W350" s="3">
        <f t="shared" si="120"/>
        <v>0</v>
      </c>
      <c r="X350" s="3">
        <f t="shared" si="121"/>
        <v>0</v>
      </c>
      <c r="Y350" s="3">
        <f t="shared" si="113"/>
        <v>0</v>
      </c>
      <c r="Z350" s="3">
        <f t="shared" si="114"/>
        <v>0</v>
      </c>
      <c r="AA350" s="3">
        <f t="shared" si="115"/>
        <v>0</v>
      </c>
    </row>
    <row r="351" spans="1:27" x14ac:dyDescent="0.25">
      <c r="A351" s="3">
        <f t="shared" si="110"/>
        <v>1</v>
      </c>
      <c r="B351" s="113">
        <f t="shared" si="116"/>
        <v>2.7499999999999853</v>
      </c>
      <c r="C351" s="117">
        <f>$D$45*B351+$D$46</f>
        <v>4.0150000000000032</v>
      </c>
      <c r="D351" s="117">
        <f t="shared" si="124"/>
        <v>4.0300000000000029</v>
      </c>
      <c r="E351" s="117">
        <f t="shared" si="109"/>
        <v>3.9784999999999977</v>
      </c>
      <c r="F351" s="117">
        <f t="shared" si="122"/>
        <v>3.9934999999999978</v>
      </c>
      <c r="G351" s="117">
        <f t="shared" si="125"/>
        <v>3.023000000000001</v>
      </c>
      <c r="H351" s="117">
        <f t="shared" si="123"/>
        <v>3.0380000000000011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7"/>
        <v>1</v>
      </c>
      <c r="L351" s="10">
        <f t="shared" si="101"/>
        <v>4.0150000000000032</v>
      </c>
      <c r="M351" s="126">
        <f t="shared" si="104"/>
        <v>2.4</v>
      </c>
      <c r="N351" s="126">
        <f t="shared" si="107"/>
        <v>2.4</v>
      </c>
      <c r="O351" s="126">
        <f>IF(OR($B$22=constants!$B$60,AND(I351&gt;$B$12,$B$12&lt;&gt;-1)),O350+(N351-O350)*$O$74,O350+(L351-O350)*$O$74)</f>
        <v>2.4</v>
      </c>
      <c r="P351" s="126">
        <f t="shared" si="111"/>
        <v>2.38</v>
      </c>
      <c r="Q351" s="123">
        <f t="shared" si="102"/>
        <v>2</v>
      </c>
      <c r="R351" s="123">
        <f t="shared" si="118"/>
        <v>2</v>
      </c>
      <c r="S351" s="3">
        <f t="shared" si="112"/>
        <v>0</v>
      </c>
      <c r="T351" s="3">
        <f t="shared" si="112"/>
        <v>0</v>
      </c>
      <c r="U351" s="3">
        <f t="shared" si="112"/>
        <v>0</v>
      </c>
      <c r="V351" s="3">
        <f t="shared" si="119"/>
        <v>0</v>
      </c>
      <c r="W351" s="3">
        <f t="shared" si="120"/>
        <v>0</v>
      </c>
      <c r="X351" s="3">
        <f t="shared" si="121"/>
        <v>0</v>
      </c>
      <c r="Y351" s="3">
        <f t="shared" si="113"/>
        <v>0</v>
      </c>
      <c r="Z351" s="3">
        <f t="shared" si="114"/>
        <v>0</v>
      </c>
      <c r="AA351" s="3">
        <f t="shared" si="115"/>
        <v>0</v>
      </c>
    </row>
    <row r="352" spans="1:27" x14ac:dyDescent="0.25">
      <c r="A352" s="3">
        <f t="shared" si="110"/>
        <v>1</v>
      </c>
      <c r="B352" s="113">
        <f t="shared" si="116"/>
        <v>2.7599999999999851</v>
      </c>
      <c r="C352" s="117">
        <f t="shared" ref="C352:C376" si="126">$D$45*B352+$D$46</f>
        <v>4.0120800000000036</v>
      </c>
      <c r="D352" s="117">
        <f t="shared" si="124"/>
        <v>4.0270800000000033</v>
      </c>
      <c r="E352" s="117">
        <f t="shared" si="109"/>
        <v>3.9799599999999975</v>
      </c>
      <c r="F352" s="117">
        <f t="shared" si="122"/>
        <v>3.9949599999999976</v>
      </c>
      <c r="G352" s="117">
        <f t="shared" si="125"/>
        <v>3.0220000000000007</v>
      </c>
      <c r="H352" s="117">
        <f t="shared" si="123"/>
        <v>3.0370000000000008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7"/>
        <v>1</v>
      </c>
      <c r="L352" s="10">
        <f t="shared" si="101"/>
        <v>4.0120800000000036</v>
      </c>
      <c r="M352" s="126">
        <f t="shared" si="104"/>
        <v>2.4</v>
      </c>
      <c r="N352" s="126">
        <f t="shared" si="107"/>
        <v>2.4</v>
      </c>
      <c r="O352" s="126">
        <f>IF(OR($B$22=constants!$B$60,AND(I352&gt;$B$12,$B$12&lt;&gt;-1)),O351+(N352-O351)*$O$74,O351+(L352-O351)*$O$74)</f>
        <v>2.4</v>
      </c>
      <c r="P352" s="126">
        <f t="shared" si="111"/>
        <v>2.38</v>
      </c>
      <c r="Q352" s="123">
        <f t="shared" si="102"/>
        <v>2</v>
      </c>
      <c r="R352" s="123">
        <f t="shared" si="118"/>
        <v>2</v>
      </c>
      <c r="S352" s="3">
        <f t="shared" si="112"/>
        <v>0</v>
      </c>
      <c r="T352" s="3">
        <f t="shared" si="112"/>
        <v>0</v>
      </c>
      <c r="U352" s="3">
        <f t="shared" si="112"/>
        <v>0</v>
      </c>
      <c r="V352" s="3">
        <f t="shared" si="119"/>
        <v>0</v>
      </c>
      <c r="W352" s="3">
        <f t="shared" si="120"/>
        <v>0</v>
      </c>
      <c r="X352" s="3">
        <f t="shared" si="121"/>
        <v>0</v>
      </c>
      <c r="Y352" s="3">
        <f t="shared" si="113"/>
        <v>0</v>
      </c>
      <c r="Z352" s="3">
        <f t="shared" si="114"/>
        <v>0</v>
      </c>
      <c r="AA352" s="3">
        <f t="shared" si="115"/>
        <v>0</v>
      </c>
    </row>
    <row r="353" spans="1:27" x14ac:dyDescent="0.25">
      <c r="A353" s="3">
        <f t="shared" si="110"/>
        <v>1</v>
      </c>
      <c r="B353" s="113">
        <f t="shared" si="116"/>
        <v>2.7699999999999849</v>
      </c>
      <c r="C353" s="117">
        <f t="shared" si="126"/>
        <v>4.0091600000000032</v>
      </c>
      <c r="D353" s="117">
        <f t="shared" si="124"/>
        <v>4.0241600000000028</v>
      </c>
      <c r="E353" s="117">
        <f t="shared" si="109"/>
        <v>3.9814199999999973</v>
      </c>
      <c r="F353" s="117">
        <f t="shared" si="122"/>
        <v>3.9964199999999974</v>
      </c>
      <c r="G353" s="117">
        <f t="shared" si="125"/>
        <v>3.0210000000000008</v>
      </c>
      <c r="H353" s="117">
        <f t="shared" si="123"/>
        <v>3.0360000000000009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7"/>
        <v>1</v>
      </c>
      <c r="L353" s="10">
        <f t="shared" si="101"/>
        <v>4.0091600000000032</v>
      </c>
      <c r="M353" s="126">
        <f t="shared" si="104"/>
        <v>2.4</v>
      </c>
      <c r="N353" s="126">
        <f t="shared" si="107"/>
        <v>2.4</v>
      </c>
      <c r="O353" s="126">
        <f>IF(OR($B$22=constants!$B$60,AND(I353&gt;$B$12,$B$12&lt;&gt;-1)),O352+(N353-O352)*$O$74,O352+(L353-O352)*$O$74)</f>
        <v>2.4</v>
      </c>
      <c r="P353" s="126">
        <f t="shared" si="111"/>
        <v>2.38</v>
      </c>
      <c r="Q353" s="123">
        <f t="shared" si="102"/>
        <v>2</v>
      </c>
      <c r="R353" s="123">
        <f t="shared" si="118"/>
        <v>2</v>
      </c>
      <c r="S353" s="3">
        <f t="shared" si="112"/>
        <v>0</v>
      </c>
      <c r="T353" s="3">
        <f t="shared" si="112"/>
        <v>0</v>
      </c>
      <c r="U353" s="3">
        <f t="shared" si="112"/>
        <v>0</v>
      </c>
      <c r="V353" s="3">
        <f t="shared" si="119"/>
        <v>0</v>
      </c>
      <c r="W353" s="3">
        <f t="shared" si="120"/>
        <v>0</v>
      </c>
      <c r="X353" s="3">
        <f t="shared" si="121"/>
        <v>0</v>
      </c>
      <c r="Y353" s="3">
        <f t="shared" si="113"/>
        <v>0</v>
      </c>
      <c r="Z353" s="3">
        <f t="shared" si="114"/>
        <v>0</v>
      </c>
      <c r="AA353" s="3">
        <f t="shared" si="115"/>
        <v>0</v>
      </c>
    </row>
    <row r="354" spans="1:27" x14ac:dyDescent="0.25">
      <c r="A354" s="3">
        <f t="shared" si="110"/>
        <v>1</v>
      </c>
      <c r="B354" s="113">
        <f t="shared" si="116"/>
        <v>2.7799999999999847</v>
      </c>
      <c r="C354" s="117">
        <f t="shared" si="126"/>
        <v>4.0062400000000036</v>
      </c>
      <c r="D354" s="117">
        <f t="shared" si="124"/>
        <v>4.0212400000000033</v>
      </c>
      <c r="E354" s="117">
        <f t="shared" si="109"/>
        <v>3.9828799999999975</v>
      </c>
      <c r="F354" s="117">
        <f t="shared" si="122"/>
        <v>3.9978799999999977</v>
      </c>
      <c r="G354" s="117">
        <f t="shared" si="125"/>
        <v>3.0200000000000009</v>
      </c>
      <c r="H354" s="117">
        <f t="shared" si="123"/>
        <v>3.035000000000001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7"/>
        <v>1</v>
      </c>
      <c r="L354" s="10">
        <f t="shared" si="101"/>
        <v>4.0062400000000036</v>
      </c>
      <c r="M354" s="126">
        <f t="shared" si="104"/>
        <v>2.4</v>
      </c>
      <c r="N354" s="126">
        <f t="shared" si="107"/>
        <v>2.4</v>
      </c>
      <c r="O354" s="126">
        <f>IF(OR($B$22=constants!$B$60,AND(I354&gt;$B$12,$B$12&lt;&gt;-1)),O353+(N354-O353)*$O$74,O353+(L354-O353)*$O$74)</f>
        <v>2.4</v>
      </c>
      <c r="P354" s="126">
        <f t="shared" si="111"/>
        <v>2.38</v>
      </c>
      <c r="Q354" s="123">
        <f t="shared" si="102"/>
        <v>2</v>
      </c>
      <c r="R354" s="123">
        <f t="shared" si="118"/>
        <v>2</v>
      </c>
      <c r="S354" s="3">
        <f t="shared" si="112"/>
        <v>0</v>
      </c>
      <c r="T354" s="3">
        <f t="shared" si="112"/>
        <v>0</v>
      </c>
      <c r="U354" s="3">
        <f t="shared" si="112"/>
        <v>0</v>
      </c>
      <c r="V354" s="3">
        <f t="shared" si="119"/>
        <v>0</v>
      </c>
      <c r="W354" s="3">
        <f t="shared" si="120"/>
        <v>0</v>
      </c>
      <c r="X354" s="3">
        <f t="shared" si="121"/>
        <v>0</v>
      </c>
      <c r="Y354" s="3">
        <f t="shared" si="113"/>
        <v>0</v>
      </c>
      <c r="Z354" s="3">
        <f t="shared" si="114"/>
        <v>0</v>
      </c>
      <c r="AA354" s="3">
        <f t="shared" si="115"/>
        <v>0</v>
      </c>
    </row>
    <row r="355" spans="1:27" x14ac:dyDescent="0.25">
      <c r="A355" s="3">
        <f t="shared" si="110"/>
        <v>1</v>
      </c>
      <c r="B355" s="113">
        <f t="shared" si="116"/>
        <v>2.7899999999999845</v>
      </c>
      <c r="C355" s="117">
        <f t="shared" si="126"/>
        <v>4.003320000000004</v>
      </c>
      <c r="D355" s="117">
        <f t="shared" si="124"/>
        <v>4.0183200000000037</v>
      </c>
      <c r="E355" s="117">
        <f t="shared" si="109"/>
        <v>3.9843399999999973</v>
      </c>
      <c r="F355" s="117">
        <f t="shared" si="122"/>
        <v>3.9993399999999975</v>
      </c>
      <c r="G355" s="117">
        <f t="shared" si="125"/>
        <v>3.019000000000001</v>
      </c>
      <c r="H355" s="117">
        <f t="shared" si="123"/>
        <v>3.0340000000000011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7"/>
        <v>1</v>
      </c>
      <c r="L355" s="10">
        <f t="shared" si="101"/>
        <v>4.003320000000004</v>
      </c>
      <c r="M355" s="126">
        <f t="shared" si="104"/>
        <v>2.4</v>
      </c>
      <c r="N355" s="126">
        <f t="shared" si="107"/>
        <v>2.4</v>
      </c>
      <c r="O355" s="126">
        <f>IF(OR($B$22=constants!$B$60,AND(I355&gt;$B$12,$B$12&lt;&gt;-1)),O354+(N355-O354)*$O$74,O354+(L355-O354)*$O$74)</f>
        <v>2.4</v>
      </c>
      <c r="P355" s="126">
        <f t="shared" si="111"/>
        <v>2.38</v>
      </c>
      <c r="Q355" s="123">
        <f t="shared" si="102"/>
        <v>2</v>
      </c>
      <c r="R355" s="123">
        <f t="shared" si="118"/>
        <v>2</v>
      </c>
      <c r="S355" s="3">
        <f t="shared" si="112"/>
        <v>0</v>
      </c>
      <c r="T355" s="3">
        <f t="shared" si="112"/>
        <v>0</v>
      </c>
      <c r="U355" s="3">
        <f t="shared" si="112"/>
        <v>0</v>
      </c>
      <c r="V355" s="3">
        <f t="shared" si="119"/>
        <v>0</v>
      </c>
      <c r="W355" s="3">
        <f t="shared" si="120"/>
        <v>0</v>
      </c>
      <c r="X355" s="3">
        <f t="shared" si="121"/>
        <v>0</v>
      </c>
      <c r="Y355" s="3">
        <f t="shared" si="113"/>
        <v>0</v>
      </c>
      <c r="Z355" s="3">
        <f t="shared" si="114"/>
        <v>0</v>
      </c>
      <c r="AA355" s="3">
        <f t="shared" si="115"/>
        <v>0</v>
      </c>
    </row>
    <row r="356" spans="1:27" x14ac:dyDescent="0.25">
      <c r="A356" s="3">
        <f t="shared" si="110"/>
        <v>1</v>
      </c>
      <c r="B356" s="113">
        <f t="shared" si="116"/>
        <v>2.7999999999999843</v>
      </c>
      <c r="C356" s="117">
        <f t="shared" si="126"/>
        <v>4.0004000000000035</v>
      </c>
      <c r="D356" s="117">
        <f t="shared" si="124"/>
        <v>4.0154000000000032</v>
      </c>
      <c r="E356" s="117">
        <f t="shared" si="109"/>
        <v>3.9857999999999976</v>
      </c>
      <c r="F356" s="117">
        <f t="shared" si="122"/>
        <v>4.0007999999999972</v>
      </c>
      <c r="G356" s="117">
        <f t="shared" si="125"/>
        <v>3.0180000000000011</v>
      </c>
      <c r="H356" s="117">
        <f t="shared" si="123"/>
        <v>3.0330000000000013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7"/>
        <v>1</v>
      </c>
      <c r="L356" s="10">
        <f t="shared" si="101"/>
        <v>4.0004000000000035</v>
      </c>
      <c r="M356" s="126">
        <f t="shared" si="104"/>
        <v>2.4</v>
      </c>
      <c r="N356" s="126">
        <f t="shared" si="107"/>
        <v>2.4</v>
      </c>
      <c r="O356" s="126">
        <f>IF(OR($B$22=constants!$B$60,AND(I356&gt;$B$12,$B$12&lt;&gt;-1)),O355+(N356-O355)*$O$74,O355+(L356-O355)*$O$74)</f>
        <v>2.4</v>
      </c>
      <c r="P356" s="126">
        <f t="shared" si="111"/>
        <v>2.38</v>
      </c>
      <c r="Q356" s="123">
        <f t="shared" si="102"/>
        <v>2</v>
      </c>
      <c r="R356" s="123">
        <f t="shared" si="118"/>
        <v>2</v>
      </c>
      <c r="S356" s="3">
        <f t="shared" si="112"/>
        <v>0</v>
      </c>
      <c r="T356" s="3">
        <f t="shared" si="112"/>
        <v>0</v>
      </c>
      <c r="U356" s="3">
        <f t="shared" si="112"/>
        <v>0</v>
      </c>
      <c r="V356" s="3">
        <f t="shared" si="119"/>
        <v>0</v>
      </c>
      <c r="W356" s="3">
        <f t="shared" si="120"/>
        <v>0</v>
      </c>
      <c r="X356" s="3">
        <f t="shared" si="121"/>
        <v>0</v>
      </c>
      <c r="Y356" s="3">
        <f t="shared" si="113"/>
        <v>0</v>
      </c>
      <c r="Z356" s="3">
        <f t="shared" si="114"/>
        <v>0</v>
      </c>
      <c r="AA356" s="3">
        <f t="shared" si="115"/>
        <v>0</v>
      </c>
    </row>
    <row r="357" spans="1:27" x14ac:dyDescent="0.25">
      <c r="A357" s="3">
        <f t="shared" si="110"/>
        <v>1</v>
      </c>
      <c r="B357" s="113">
        <f t="shared" si="116"/>
        <v>2.8099999999999841</v>
      </c>
      <c r="C357" s="117">
        <f t="shared" si="126"/>
        <v>3.9974800000000039</v>
      </c>
      <c r="D357" s="117">
        <f t="shared" si="124"/>
        <v>4.0124800000000036</v>
      </c>
      <c r="E357" s="117">
        <f t="shared" si="109"/>
        <v>3.9872599999999974</v>
      </c>
      <c r="F357" s="117">
        <f t="shared" si="122"/>
        <v>4.002259999999997</v>
      </c>
      <c r="G357" s="117">
        <f t="shared" si="125"/>
        <v>3.0170000000000008</v>
      </c>
      <c r="H357" s="117">
        <f t="shared" si="123"/>
        <v>3.0320000000000009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7"/>
        <v>1</v>
      </c>
      <c r="L357" s="10">
        <f t="shared" si="101"/>
        <v>3.9974800000000039</v>
      </c>
      <c r="M357" s="126">
        <f t="shared" si="104"/>
        <v>2.4</v>
      </c>
      <c r="N357" s="126">
        <f t="shared" si="107"/>
        <v>2.4</v>
      </c>
      <c r="O357" s="126">
        <f>IF(OR($B$22=constants!$B$60,AND(I357&gt;$B$12,$B$12&lt;&gt;-1)),O356+(N357-O356)*$O$74,O356+(L357-O356)*$O$74)</f>
        <v>2.4</v>
      </c>
      <c r="P357" s="126">
        <f t="shared" si="111"/>
        <v>2.38</v>
      </c>
      <c r="Q357" s="123">
        <f t="shared" si="102"/>
        <v>2</v>
      </c>
      <c r="R357" s="123">
        <f t="shared" si="118"/>
        <v>2</v>
      </c>
      <c r="S357" s="3">
        <f t="shared" si="112"/>
        <v>0</v>
      </c>
      <c r="T357" s="3">
        <f t="shared" si="112"/>
        <v>0</v>
      </c>
      <c r="U357" s="3">
        <f t="shared" si="112"/>
        <v>0</v>
      </c>
      <c r="V357" s="3">
        <f t="shared" si="119"/>
        <v>0</v>
      </c>
      <c r="W357" s="3">
        <f t="shared" si="120"/>
        <v>0</v>
      </c>
      <c r="X357" s="3">
        <f t="shared" si="121"/>
        <v>0</v>
      </c>
      <c r="Y357" s="3">
        <f t="shared" si="113"/>
        <v>0</v>
      </c>
      <c r="Z357" s="3">
        <f t="shared" si="114"/>
        <v>0</v>
      </c>
      <c r="AA357" s="3">
        <f t="shared" si="115"/>
        <v>0</v>
      </c>
    </row>
    <row r="358" spans="1:27" x14ac:dyDescent="0.25">
      <c r="A358" s="3">
        <f t="shared" si="110"/>
        <v>1</v>
      </c>
      <c r="B358" s="113">
        <f t="shared" si="116"/>
        <v>2.8199999999999839</v>
      </c>
      <c r="C358" s="117">
        <f t="shared" si="126"/>
        <v>3.9945600000000039</v>
      </c>
      <c r="D358" s="117">
        <f t="shared" si="124"/>
        <v>4.009560000000004</v>
      </c>
      <c r="E358" s="117">
        <f t="shared" si="109"/>
        <v>3.9887199999999972</v>
      </c>
      <c r="F358" s="117">
        <f t="shared" si="122"/>
        <v>4.0037199999999968</v>
      </c>
      <c r="G358" s="117">
        <f t="shared" si="125"/>
        <v>3.0160000000000009</v>
      </c>
      <c r="H358" s="117">
        <f t="shared" si="123"/>
        <v>3.031000000000001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7"/>
        <v>1</v>
      </c>
      <c r="L358" s="10">
        <f t="shared" si="101"/>
        <v>3.9945600000000039</v>
      </c>
      <c r="M358" s="126">
        <f t="shared" si="104"/>
        <v>2.4</v>
      </c>
      <c r="N358" s="126">
        <f t="shared" si="107"/>
        <v>2.4</v>
      </c>
      <c r="O358" s="126">
        <f>IF(OR($B$22=constants!$B$60,AND(I358&gt;$B$12,$B$12&lt;&gt;-1)),O357+(N358-O357)*$O$74,O357+(L358-O357)*$O$74)</f>
        <v>2.4</v>
      </c>
      <c r="P358" s="126">
        <f t="shared" si="111"/>
        <v>2.38</v>
      </c>
      <c r="Q358" s="123">
        <f t="shared" si="102"/>
        <v>2</v>
      </c>
      <c r="R358" s="123">
        <f t="shared" si="118"/>
        <v>2</v>
      </c>
      <c r="S358" s="3">
        <f t="shared" si="112"/>
        <v>0</v>
      </c>
      <c r="T358" s="3">
        <f t="shared" si="112"/>
        <v>0</v>
      </c>
      <c r="U358" s="3">
        <f t="shared" si="112"/>
        <v>0</v>
      </c>
      <c r="V358" s="3">
        <f t="shared" si="119"/>
        <v>0</v>
      </c>
      <c r="W358" s="3">
        <f t="shared" si="120"/>
        <v>0</v>
      </c>
      <c r="X358" s="3">
        <f t="shared" si="121"/>
        <v>0</v>
      </c>
      <c r="Y358" s="3">
        <f t="shared" si="113"/>
        <v>0</v>
      </c>
      <c r="Z358" s="3">
        <f t="shared" si="114"/>
        <v>0</v>
      </c>
      <c r="AA358" s="3">
        <f t="shared" si="115"/>
        <v>0</v>
      </c>
    </row>
    <row r="359" spans="1:27" x14ac:dyDescent="0.25">
      <c r="A359" s="3">
        <f t="shared" si="110"/>
        <v>1</v>
      </c>
      <c r="B359" s="113">
        <f t="shared" si="116"/>
        <v>2.8299999999999836</v>
      </c>
      <c r="C359" s="117">
        <f t="shared" si="126"/>
        <v>3.9916400000000039</v>
      </c>
      <c r="D359" s="117">
        <f t="shared" si="124"/>
        <v>4.0066400000000035</v>
      </c>
      <c r="E359" s="117">
        <f t="shared" si="109"/>
        <v>3.9901799999999974</v>
      </c>
      <c r="F359" s="117">
        <f t="shared" si="122"/>
        <v>4.0051799999999975</v>
      </c>
      <c r="G359" s="117">
        <f t="shared" si="125"/>
        <v>3.015000000000001</v>
      </c>
      <c r="H359" s="117">
        <f t="shared" si="123"/>
        <v>3.0300000000000011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7"/>
        <v>1</v>
      </c>
      <c r="L359" s="10">
        <f t="shared" si="101"/>
        <v>3.9916400000000039</v>
      </c>
      <c r="M359" s="126">
        <f t="shared" si="104"/>
        <v>2.4</v>
      </c>
      <c r="N359" s="126">
        <f t="shared" si="107"/>
        <v>2.4</v>
      </c>
      <c r="O359" s="126">
        <f>IF(OR($B$22=constants!$B$60,AND(I359&gt;$B$12,$B$12&lt;&gt;-1)),O358+(N359-O358)*$O$74,O358+(L359-O358)*$O$74)</f>
        <v>2.4</v>
      </c>
      <c r="P359" s="126">
        <f t="shared" si="111"/>
        <v>2.38</v>
      </c>
      <c r="Q359" s="123">
        <f t="shared" si="102"/>
        <v>2</v>
      </c>
      <c r="R359" s="123">
        <f t="shared" si="118"/>
        <v>2</v>
      </c>
      <c r="S359" s="3">
        <f t="shared" si="112"/>
        <v>0</v>
      </c>
      <c r="T359" s="3">
        <f t="shared" si="112"/>
        <v>0</v>
      </c>
      <c r="U359" s="3">
        <f t="shared" si="112"/>
        <v>0</v>
      </c>
      <c r="V359" s="3">
        <f t="shared" si="119"/>
        <v>0</v>
      </c>
      <c r="W359" s="3">
        <f t="shared" si="120"/>
        <v>0</v>
      </c>
      <c r="X359" s="3">
        <f t="shared" si="121"/>
        <v>0</v>
      </c>
      <c r="Y359" s="3">
        <f t="shared" si="113"/>
        <v>0</v>
      </c>
      <c r="Z359" s="3">
        <f t="shared" si="114"/>
        <v>0</v>
      </c>
      <c r="AA359" s="3">
        <f t="shared" si="115"/>
        <v>0</v>
      </c>
    </row>
    <row r="360" spans="1:27" x14ac:dyDescent="0.25">
      <c r="A360" s="3">
        <f t="shared" si="110"/>
        <v>1</v>
      </c>
      <c r="B360" s="113">
        <f t="shared" si="116"/>
        <v>2.8399999999999834</v>
      </c>
      <c r="C360" s="117">
        <f t="shared" si="126"/>
        <v>3.9887200000000043</v>
      </c>
      <c r="D360" s="117">
        <f t="shared" si="124"/>
        <v>4.0037200000000039</v>
      </c>
      <c r="E360" s="117">
        <f t="shared" si="109"/>
        <v>3.9916399999999972</v>
      </c>
      <c r="F360" s="117">
        <f t="shared" si="122"/>
        <v>4.0066399999999973</v>
      </c>
      <c r="G360" s="117">
        <f t="shared" si="125"/>
        <v>3.0140000000000011</v>
      </c>
      <c r="H360" s="117">
        <f t="shared" si="123"/>
        <v>3.0290000000000012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7"/>
        <v>1</v>
      </c>
      <c r="L360" s="10">
        <f t="shared" si="101"/>
        <v>3.9887200000000043</v>
      </c>
      <c r="M360" s="126">
        <f t="shared" si="104"/>
        <v>2.4</v>
      </c>
      <c r="N360" s="126">
        <f t="shared" si="107"/>
        <v>2.4</v>
      </c>
      <c r="O360" s="126">
        <f>IF(OR($B$22=constants!$B$60,AND(I360&gt;$B$12,$B$12&lt;&gt;-1)),O359+(N360-O359)*$O$74,O359+(L360-O359)*$O$74)</f>
        <v>2.4</v>
      </c>
      <c r="P360" s="126">
        <f t="shared" si="111"/>
        <v>2.38</v>
      </c>
      <c r="Q360" s="123">
        <f t="shared" si="102"/>
        <v>2</v>
      </c>
      <c r="R360" s="123">
        <f t="shared" si="118"/>
        <v>2</v>
      </c>
      <c r="S360" s="3">
        <f t="shared" si="112"/>
        <v>0</v>
      </c>
      <c r="T360" s="3">
        <f t="shared" si="112"/>
        <v>0</v>
      </c>
      <c r="U360" s="3">
        <f t="shared" si="112"/>
        <v>0</v>
      </c>
      <c r="V360" s="3">
        <f t="shared" si="119"/>
        <v>0</v>
      </c>
      <c r="W360" s="3">
        <f t="shared" si="120"/>
        <v>0</v>
      </c>
      <c r="X360" s="3">
        <f t="shared" si="121"/>
        <v>0</v>
      </c>
      <c r="Y360" s="3">
        <f t="shared" si="113"/>
        <v>0</v>
      </c>
      <c r="Z360" s="3">
        <f t="shared" si="114"/>
        <v>0</v>
      </c>
      <c r="AA360" s="3">
        <f t="shared" si="115"/>
        <v>0</v>
      </c>
    </row>
    <row r="361" spans="1:27" x14ac:dyDescent="0.25">
      <c r="A361" s="3">
        <f t="shared" si="110"/>
        <v>1</v>
      </c>
      <c r="B361" s="113">
        <f t="shared" si="116"/>
        <v>2.8499999999999832</v>
      </c>
      <c r="C361" s="117">
        <f t="shared" si="126"/>
        <v>3.9858000000000042</v>
      </c>
      <c r="D361" s="117">
        <f t="shared" si="124"/>
        <v>4.0008000000000044</v>
      </c>
      <c r="E361" s="117">
        <f t="shared" si="109"/>
        <v>3.9930999999999974</v>
      </c>
      <c r="F361" s="117">
        <f t="shared" si="122"/>
        <v>4.0080999999999971</v>
      </c>
      <c r="G361" s="117">
        <f t="shared" si="125"/>
        <v>3.0130000000000012</v>
      </c>
      <c r="H361" s="117">
        <f t="shared" si="123"/>
        <v>3.0280000000000014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7"/>
        <v>1</v>
      </c>
      <c r="L361" s="10">
        <f t="shared" si="101"/>
        <v>3.9858000000000042</v>
      </c>
      <c r="M361" s="126">
        <f t="shared" si="104"/>
        <v>2.4</v>
      </c>
      <c r="N361" s="126">
        <f t="shared" si="107"/>
        <v>2.4</v>
      </c>
      <c r="O361" s="126">
        <f>IF(OR($B$22=constants!$B$60,AND(I361&gt;$B$12,$B$12&lt;&gt;-1)),O360+(N361-O360)*$O$74,O360+(L361-O360)*$O$74)</f>
        <v>2.4</v>
      </c>
      <c r="P361" s="126">
        <f t="shared" si="111"/>
        <v>2.38</v>
      </c>
      <c r="Q361" s="123">
        <f t="shared" si="102"/>
        <v>2</v>
      </c>
      <c r="R361" s="123">
        <f t="shared" si="118"/>
        <v>2</v>
      </c>
      <c r="S361" s="3">
        <f t="shared" si="112"/>
        <v>0</v>
      </c>
      <c r="T361" s="3">
        <f t="shared" si="112"/>
        <v>0</v>
      </c>
      <c r="U361" s="3">
        <f t="shared" si="112"/>
        <v>0</v>
      </c>
      <c r="V361" s="3">
        <f t="shared" si="119"/>
        <v>0</v>
      </c>
      <c r="W361" s="3">
        <f t="shared" si="120"/>
        <v>0</v>
      </c>
      <c r="X361" s="3">
        <f t="shared" si="121"/>
        <v>0</v>
      </c>
      <c r="Y361" s="3">
        <f t="shared" si="113"/>
        <v>0</v>
      </c>
      <c r="Z361" s="3">
        <f t="shared" si="114"/>
        <v>0</v>
      </c>
      <c r="AA361" s="3">
        <f t="shared" si="115"/>
        <v>0</v>
      </c>
    </row>
    <row r="362" spans="1:27" x14ac:dyDescent="0.25">
      <c r="A362" s="3">
        <f t="shared" si="110"/>
        <v>1</v>
      </c>
      <c r="B362" s="113">
        <f t="shared" si="116"/>
        <v>2.859999999999983</v>
      </c>
      <c r="C362" s="117">
        <f t="shared" si="126"/>
        <v>3.9828800000000042</v>
      </c>
      <c r="D362" s="117">
        <f t="shared" si="124"/>
        <v>3.9978800000000043</v>
      </c>
      <c r="E362" s="117">
        <f t="shared" si="109"/>
        <v>3.9945599999999972</v>
      </c>
      <c r="F362" s="117">
        <f t="shared" si="122"/>
        <v>4.0095599999999969</v>
      </c>
      <c r="G362" s="117">
        <f t="shared" si="125"/>
        <v>3.0120000000000009</v>
      </c>
      <c r="H362" s="117">
        <f t="shared" si="123"/>
        <v>3.027000000000001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7"/>
        <v>1</v>
      </c>
      <c r="L362" s="10">
        <f t="shared" si="101"/>
        <v>3.9828800000000042</v>
      </c>
      <c r="M362" s="126">
        <f t="shared" si="104"/>
        <v>2.4</v>
      </c>
      <c r="N362" s="126">
        <f t="shared" si="107"/>
        <v>2.4</v>
      </c>
      <c r="O362" s="126">
        <f>IF(OR($B$22=constants!$B$60,AND(I362&gt;$B$12,$B$12&lt;&gt;-1)),O361+(N362-O361)*$O$74,O361+(L362-O361)*$O$74)</f>
        <v>2.4</v>
      </c>
      <c r="P362" s="126">
        <f t="shared" si="111"/>
        <v>2.38</v>
      </c>
      <c r="Q362" s="123">
        <f t="shared" si="102"/>
        <v>2</v>
      </c>
      <c r="R362" s="123">
        <f t="shared" si="118"/>
        <v>2</v>
      </c>
      <c r="S362" s="3">
        <f t="shared" si="112"/>
        <v>0</v>
      </c>
      <c r="T362" s="3">
        <f t="shared" si="112"/>
        <v>0</v>
      </c>
      <c r="U362" s="3">
        <f t="shared" si="112"/>
        <v>0</v>
      </c>
      <c r="V362" s="3">
        <f t="shared" si="119"/>
        <v>0</v>
      </c>
      <c r="W362" s="3">
        <f t="shared" si="120"/>
        <v>0</v>
      </c>
      <c r="X362" s="3">
        <f t="shared" si="121"/>
        <v>0</v>
      </c>
      <c r="Y362" s="3">
        <f t="shared" si="113"/>
        <v>0</v>
      </c>
      <c r="Z362" s="3">
        <f t="shared" si="114"/>
        <v>0</v>
      </c>
      <c r="AA362" s="3">
        <f t="shared" si="115"/>
        <v>0</v>
      </c>
    </row>
    <row r="363" spans="1:27" x14ac:dyDescent="0.25">
      <c r="A363" s="3">
        <f t="shared" si="110"/>
        <v>1</v>
      </c>
      <c r="B363" s="113">
        <f t="shared" si="116"/>
        <v>2.8699999999999828</v>
      </c>
      <c r="C363" s="117">
        <f t="shared" si="126"/>
        <v>3.9799600000000042</v>
      </c>
      <c r="D363" s="117">
        <f t="shared" si="124"/>
        <v>3.9949600000000043</v>
      </c>
      <c r="E363" s="117">
        <f t="shared" si="109"/>
        <v>3.996019999999997</v>
      </c>
      <c r="F363" s="117">
        <f t="shared" si="122"/>
        <v>4.0110199999999967</v>
      </c>
      <c r="G363" s="117">
        <f t="shared" si="125"/>
        <v>3.011000000000001</v>
      </c>
      <c r="H363" s="117">
        <f t="shared" si="123"/>
        <v>3.0260000000000011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7"/>
        <v>1</v>
      </c>
      <c r="L363" s="10">
        <f t="shared" si="101"/>
        <v>3.9799600000000042</v>
      </c>
      <c r="M363" s="126">
        <f t="shared" si="104"/>
        <v>2.4</v>
      </c>
      <c r="N363" s="126">
        <f t="shared" si="107"/>
        <v>2.4</v>
      </c>
      <c r="O363" s="126">
        <f>IF(OR($B$22=constants!$B$60,AND(I363&gt;$B$12,$B$12&lt;&gt;-1)),O362+(N363-O362)*$O$74,O362+(L363-O362)*$O$74)</f>
        <v>2.4</v>
      </c>
      <c r="P363" s="126">
        <f t="shared" si="111"/>
        <v>2.38</v>
      </c>
      <c r="Q363" s="123">
        <f t="shared" si="102"/>
        <v>2</v>
      </c>
      <c r="R363" s="123">
        <f t="shared" si="118"/>
        <v>2</v>
      </c>
      <c r="S363" s="3">
        <f t="shared" si="112"/>
        <v>0</v>
      </c>
      <c r="T363" s="3">
        <f t="shared" si="112"/>
        <v>0</v>
      </c>
      <c r="U363" s="3">
        <f t="shared" si="112"/>
        <v>0</v>
      </c>
      <c r="V363" s="3">
        <f t="shared" si="119"/>
        <v>0</v>
      </c>
      <c r="W363" s="3">
        <f t="shared" si="120"/>
        <v>0</v>
      </c>
      <c r="X363" s="3">
        <f t="shared" si="121"/>
        <v>0</v>
      </c>
      <c r="Y363" s="3">
        <f t="shared" si="113"/>
        <v>0</v>
      </c>
      <c r="Z363" s="3">
        <f t="shared" si="114"/>
        <v>0</v>
      </c>
      <c r="AA363" s="3">
        <f t="shared" si="115"/>
        <v>0</v>
      </c>
    </row>
    <row r="364" spans="1:27" x14ac:dyDescent="0.25">
      <c r="A364" s="3">
        <f t="shared" si="110"/>
        <v>1</v>
      </c>
      <c r="B364" s="113">
        <f t="shared" si="116"/>
        <v>2.8799999999999826</v>
      </c>
      <c r="C364" s="117">
        <f t="shared" si="126"/>
        <v>3.9770400000000041</v>
      </c>
      <c r="D364" s="117">
        <f t="shared" si="124"/>
        <v>3.9920400000000043</v>
      </c>
      <c r="E364" s="117">
        <f t="shared" si="109"/>
        <v>3.9974799999999973</v>
      </c>
      <c r="F364" s="117">
        <f t="shared" si="122"/>
        <v>4.0124799999999974</v>
      </c>
      <c r="G364" s="117">
        <f t="shared" si="125"/>
        <v>3.0100000000000011</v>
      </c>
      <c r="H364" s="117">
        <f t="shared" si="123"/>
        <v>3.0250000000000012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7"/>
        <v>1</v>
      </c>
      <c r="L364" s="10">
        <f t="shared" si="101"/>
        <v>3.9770400000000041</v>
      </c>
      <c r="M364" s="126">
        <f t="shared" si="104"/>
        <v>2.4</v>
      </c>
      <c r="N364" s="126">
        <f t="shared" si="107"/>
        <v>2.4</v>
      </c>
      <c r="O364" s="126">
        <f>IF(OR($B$22=constants!$B$60,AND(I364&gt;$B$12,$B$12&lt;&gt;-1)),O363+(N364-O363)*$O$74,O363+(L364-O363)*$O$74)</f>
        <v>2.4</v>
      </c>
      <c r="P364" s="126">
        <f t="shared" si="111"/>
        <v>2.38</v>
      </c>
      <c r="Q364" s="123">
        <f t="shared" si="102"/>
        <v>2</v>
      </c>
      <c r="R364" s="123">
        <f t="shared" si="118"/>
        <v>2</v>
      </c>
      <c r="S364" s="3">
        <f t="shared" si="112"/>
        <v>0</v>
      </c>
      <c r="T364" s="3">
        <f t="shared" si="112"/>
        <v>0</v>
      </c>
      <c r="U364" s="3">
        <f t="shared" si="112"/>
        <v>0</v>
      </c>
      <c r="V364" s="3">
        <f t="shared" si="119"/>
        <v>0</v>
      </c>
      <c r="W364" s="3">
        <f t="shared" si="120"/>
        <v>0</v>
      </c>
      <c r="X364" s="3">
        <f t="shared" si="121"/>
        <v>0</v>
      </c>
      <c r="Y364" s="3">
        <f t="shared" si="113"/>
        <v>0</v>
      </c>
      <c r="Z364" s="3">
        <f t="shared" si="114"/>
        <v>0</v>
      </c>
      <c r="AA364" s="3">
        <f t="shared" si="115"/>
        <v>0</v>
      </c>
    </row>
    <row r="365" spans="1:27" x14ac:dyDescent="0.25">
      <c r="A365" s="3">
        <f t="shared" si="110"/>
        <v>1</v>
      </c>
      <c r="B365" s="113">
        <f t="shared" si="116"/>
        <v>2.8899999999999824</v>
      </c>
      <c r="C365" s="117">
        <f t="shared" si="126"/>
        <v>3.9741200000000045</v>
      </c>
      <c r="D365" s="117">
        <f t="shared" si="124"/>
        <v>3.9891200000000047</v>
      </c>
      <c r="E365" s="117">
        <f t="shared" si="109"/>
        <v>3.9989399999999971</v>
      </c>
      <c r="F365" s="117">
        <f t="shared" si="122"/>
        <v>4.0139399999999972</v>
      </c>
      <c r="G365" s="117">
        <f t="shared" si="125"/>
        <v>3.0090000000000012</v>
      </c>
      <c r="H365" s="117">
        <f t="shared" si="123"/>
        <v>3.0240000000000014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7"/>
        <v>1</v>
      </c>
      <c r="L365" s="10">
        <f t="shared" si="101"/>
        <v>3.9741200000000045</v>
      </c>
      <c r="M365" s="126">
        <f t="shared" si="104"/>
        <v>2.4</v>
      </c>
      <c r="N365" s="126">
        <f t="shared" si="107"/>
        <v>2.4</v>
      </c>
      <c r="O365" s="126">
        <f>IF(OR($B$22=constants!$B$60,AND(I365&gt;$B$12,$B$12&lt;&gt;-1)),O364+(N365-O364)*$O$74,O364+(L365-O364)*$O$74)</f>
        <v>2.4</v>
      </c>
      <c r="P365" s="126">
        <f t="shared" si="111"/>
        <v>2.38</v>
      </c>
      <c r="Q365" s="123">
        <f t="shared" si="102"/>
        <v>2</v>
      </c>
      <c r="R365" s="123">
        <f t="shared" si="118"/>
        <v>2</v>
      </c>
      <c r="S365" s="3">
        <f t="shared" si="112"/>
        <v>0</v>
      </c>
      <c r="T365" s="3">
        <f t="shared" si="112"/>
        <v>0</v>
      </c>
      <c r="U365" s="3">
        <f t="shared" si="112"/>
        <v>0</v>
      </c>
      <c r="V365" s="3">
        <f t="shared" si="119"/>
        <v>0</v>
      </c>
      <c r="W365" s="3">
        <f t="shared" si="120"/>
        <v>0</v>
      </c>
      <c r="X365" s="3">
        <f t="shared" si="121"/>
        <v>0</v>
      </c>
      <c r="Y365" s="3">
        <f t="shared" si="113"/>
        <v>0</v>
      </c>
      <c r="Z365" s="3">
        <f t="shared" si="114"/>
        <v>0</v>
      </c>
      <c r="AA365" s="3">
        <f t="shared" si="115"/>
        <v>0</v>
      </c>
    </row>
    <row r="366" spans="1:27" x14ac:dyDescent="0.25">
      <c r="A366" s="3">
        <f t="shared" si="110"/>
        <v>1</v>
      </c>
      <c r="B366" s="113">
        <f t="shared" si="116"/>
        <v>2.8999999999999821</v>
      </c>
      <c r="C366" s="117">
        <f t="shared" si="126"/>
        <v>3.9712000000000045</v>
      </c>
      <c r="D366" s="117">
        <f t="shared" si="124"/>
        <v>3.9862000000000046</v>
      </c>
      <c r="E366" s="117">
        <f t="shared" si="109"/>
        <v>4.0003999999999973</v>
      </c>
      <c r="F366" s="117">
        <f t="shared" si="122"/>
        <v>4.015399999999997</v>
      </c>
      <c r="G366" s="117">
        <f t="shared" si="125"/>
        <v>3.0080000000000013</v>
      </c>
      <c r="H366" s="117">
        <f t="shared" si="123"/>
        <v>3.0230000000000015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7"/>
        <v>1</v>
      </c>
      <c r="L366" s="10">
        <f t="shared" si="101"/>
        <v>3.9712000000000045</v>
      </c>
      <c r="M366" s="126">
        <f t="shared" si="104"/>
        <v>2.4</v>
      </c>
      <c r="N366" s="126">
        <f t="shared" si="107"/>
        <v>2.4</v>
      </c>
      <c r="O366" s="126">
        <f>IF(OR($B$22=constants!$B$60,AND(I366&gt;$B$12,$B$12&lt;&gt;-1)),O365+(N366-O365)*$O$74,O365+(L366-O365)*$O$74)</f>
        <v>2.4</v>
      </c>
      <c r="P366" s="126">
        <f t="shared" si="111"/>
        <v>2.38</v>
      </c>
      <c r="Q366" s="123">
        <f t="shared" si="102"/>
        <v>2</v>
      </c>
      <c r="R366" s="123">
        <f t="shared" si="118"/>
        <v>2</v>
      </c>
      <c r="S366" s="3">
        <f t="shared" si="112"/>
        <v>0</v>
      </c>
      <c r="T366" s="3">
        <f t="shared" si="112"/>
        <v>0</v>
      </c>
      <c r="U366" s="3">
        <f t="shared" si="112"/>
        <v>0</v>
      </c>
      <c r="V366" s="3">
        <f t="shared" si="119"/>
        <v>0</v>
      </c>
      <c r="W366" s="3">
        <f t="shared" si="120"/>
        <v>0</v>
      </c>
      <c r="X366" s="3">
        <f t="shared" si="121"/>
        <v>0</v>
      </c>
      <c r="Y366" s="3">
        <f t="shared" si="113"/>
        <v>0</v>
      </c>
      <c r="Z366" s="3">
        <f t="shared" si="114"/>
        <v>0</v>
      </c>
      <c r="AA366" s="3">
        <f t="shared" si="115"/>
        <v>0</v>
      </c>
    </row>
    <row r="367" spans="1:27" x14ac:dyDescent="0.25">
      <c r="A367" s="3">
        <f t="shared" si="110"/>
        <v>1</v>
      </c>
      <c r="B367" s="113">
        <f t="shared" si="116"/>
        <v>2.9099999999999819</v>
      </c>
      <c r="C367" s="117">
        <f t="shared" si="126"/>
        <v>3.9682800000000045</v>
      </c>
      <c r="D367" s="117">
        <f t="shared" si="124"/>
        <v>3.9832800000000046</v>
      </c>
      <c r="E367" s="117">
        <f t="shared" si="109"/>
        <v>4.0018599999999971</v>
      </c>
      <c r="F367" s="117">
        <f t="shared" si="122"/>
        <v>4.0168599999999968</v>
      </c>
      <c r="G367" s="117">
        <f t="shared" si="125"/>
        <v>3.007000000000001</v>
      </c>
      <c r="H367" s="117">
        <f t="shared" si="123"/>
        <v>3.0220000000000011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7"/>
        <v>1</v>
      </c>
      <c r="L367" s="10">
        <f t="shared" si="101"/>
        <v>3.9682800000000045</v>
      </c>
      <c r="M367" s="126">
        <f t="shared" si="104"/>
        <v>2.4</v>
      </c>
      <c r="N367" s="126">
        <f t="shared" si="107"/>
        <v>2.4</v>
      </c>
      <c r="O367" s="126">
        <f>IF(OR($B$22=constants!$B$60,AND(I367&gt;$B$12,$B$12&lt;&gt;-1)),O366+(N367-O366)*$O$74,O366+(L367-O366)*$O$74)</f>
        <v>2.4</v>
      </c>
      <c r="P367" s="126">
        <f t="shared" si="111"/>
        <v>2.38</v>
      </c>
      <c r="Q367" s="123">
        <f t="shared" si="102"/>
        <v>2</v>
      </c>
      <c r="R367" s="123">
        <f t="shared" si="118"/>
        <v>2</v>
      </c>
      <c r="S367" s="3">
        <f t="shared" si="112"/>
        <v>0</v>
      </c>
      <c r="T367" s="3">
        <f t="shared" si="112"/>
        <v>0</v>
      </c>
      <c r="U367" s="3">
        <f t="shared" si="112"/>
        <v>0</v>
      </c>
      <c r="V367" s="3">
        <f t="shared" si="119"/>
        <v>0</v>
      </c>
      <c r="W367" s="3">
        <f t="shared" si="120"/>
        <v>0</v>
      </c>
      <c r="X367" s="3">
        <f t="shared" si="121"/>
        <v>0</v>
      </c>
      <c r="Y367" s="3">
        <f t="shared" si="113"/>
        <v>0</v>
      </c>
      <c r="Z367" s="3">
        <f t="shared" si="114"/>
        <v>0</v>
      </c>
      <c r="AA367" s="3">
        <f t="shared" si="115"/>
        <v>0</v>
      </c>
    </row>
    <row r="368" spans="1:27" x14ac:dyDescent="0.25">
      <c r="A368" s="3">
        <f t="shared" si="110"/>
        <v>1</v>
      </c>
      <c r="B368" s="113">
        <f t="shared" si="116"/>
        <v>2.9199999999999817</v>
      </c>
      <c r="C368" s="117">
        <f t="shared" si="126"/>
        <v>3.9653600000000049</v>
      </c>
      <c r="D368" s="117">
        <f t="shared" si="124"/>
        <v>3.980360000000005</v>
      </c>
      <c r="E368" s="117">
        <f t="shared" si="109"/>
        <v>4.0033199999999969</v>
      </c>
      <c r="F368" s="117">
        <f t="shared" si="122"/>
        <v>4.0183199999999966</v>
      </c>
      <c r="G368" s="117">
        <f t="shared" si="125"/>
        <v>3.0060000000000011</v>
      </c>
      <c r="H368" s="117">
        <f t="shared" si="123"/>
        <v>3.0210000000000012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7"/>
        <v>1</v>
      </c>
      <c r="L368" s="10">
        <f t="shared" ref="L368:L376" si="127">IF($K368=0,IF($I368&gt;$B$16,L367+($I368-L367)*L$74-J$72,L367-L367/L$74),IF($I368&gt;$B$17,L367+($I368-L367)*L$74-J$72,L367-L367/L$74))</f>
        <v>3.9653600000000049</v>
      </c>
      <c r="M368" s="126">
        <f t="shared" si="104"/>
        <v>2.4</v>
      </c>
      <c r="N368" s="126">
        <f t="shared" si="107"/>
        <v>2.4</v>
      </c>
      <c r="O368" s="126">
        <f>IF(OR($B$22=constants!$B$60,AND(I368&gt;$B$12,$B$12&lt;&gt;-1)),O367+(N368-O367)*$O$74,O367+(L368-O367)*$O$74)</f>
        <v>2.4</v>
      </c>
      <c r="P368" s="126">
        <f t="shared" si="111"/>
        <v>2.38</v>
      </c>
      <c r="Q368" s="123">
        <f t="shared" ref="Q368:Q376" si="128">IF($K368=0,IF($I368&gt;$B$16,R367+($B$21-R367)*R$74-R$72,R367-R367/R$74),IF($I368&gt;$B$17,R367+($B$21-R367)*R$74-R$72,R367-R367/R$74))</f>
        <v>2</v>
      </c>
      <c r="R368" s="123">
        <f t="shared" si="118"/>
        <v>2</v>
      </c>
      <c r="S368" s="3">
        <f t="shared" si="112"/>
        <v>0</v>
      </c>
      <c r="T368" s="3">
        <f t="shared" si="112"/>
        <v>0</v>
      </c>
      <c r="U368" s="3">
        <f t="shared" si="112"/>
        <v>0</v>
      </c>
      <c r="V368" s="3">
        <f t="shared" si="119"/>
        <v>0</v>
      </c>
      <c r="W368" s="3">
        <f t="shared" si="120"/>
        <v>0</v>
      </c>
      <c r="X368" s="3">
        <f t="shared" si="121"/>
        <v>0</v>
      </c>
      <c r="Y368" s="3">
        <f t="shared" si="113"/>
        <v>0</v>
      </c>
      <c r="Z368" s="3">
        <f t="shared" si="114"/>
        <v>0</v>
      </c>
      <c r="AA368" s="3">
        <f t="shared" si="115"/>
        <v>0</v>
      </c>
    </row>
    <row r="369" spans="1:27" x14ac:dyDescent="0.25">
      <c r="A369" s="3">
        <f t="shared" si="110"/>
        <v>1</v>
      </c>
      <c r="B369" s="113">
        <f t="shared" si="116"/>
        <v>2.9299999999999815</v>
      </c>
      <c r="C369" s="117">
        <f t="shared" si="126"/>
        <v>3.9624400000000044</v>
      </c>
      <c r="D369" s="117">
        <f t="shared" si="124"/>
        <v>3.9774400000000045</v>
      </c>
      <c r="E369" s="117">
        <f t="shared" si="109"/>
        <v>4.0047799999999967</v>
      </c>
      <c r="F369" s="117">
        <f t="shared" ref="F369:F376" si="129">E369+$F$74</f>
        <v>4.0197799999999964</v>
      </c>
      <c r="G369" s="117">
        <f t="shared" si="125"/>
        <v>3.0050000000000012</v>
      </c>
      <c r="H369" s="117">
        <f t="shared" si="123"/>
        <v>3.0200000000000014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7"/>
        <v>1</v>
      </c>
      <c r="L369" s="10">
        <f t="shared" si="127"/>
        <v>3.9624400000000044</v>
      </c>
      <c r="M369" s="126">
        <f t="shared" si="104"/>
        <v>2.4</v>
      </c>
      <c r="N369" s="126">
        <f t="shared" si="107"/>
        <v>2.4</v>
      </c>
      <c r="O369" s="126">
        <f>IF(OR($B$22=constants!$B$60,AND(I369&gt;$B$12,$B$12&lt;&gt;-1)),O368+(N369-O368)*$O$74,O368+(L369-O368)*$O$74)</f>
        <v>2.4</v>
      </c>
      <c r="P369" s="126">
        <f t="shared" si="111"/>
        <v>2.38</v>
      </c>
      <c r="Q369" s="123">
        <f t="shared" si="128"/>
        <v>2</v>
      </c>
      <c r="R369" s="123">
        <f t="shared" si="118"/>
        <v>2</v>
      </c>
      <c r="S369" s="3">
        <f t="shared" si="112"/>
        <v>0</v>
      </c>
      <c r="T369" s="3">
        <f t="shared" si="112"/>
        <v>0</v>
      </c>
      <c r="U369" s="3">
        <f t="shared" si="112"/>
        <v>0</v>
      </c>
      <c r="V369" s="3">
        <f t="shared" si="119"/>
        <v>0</v>
      </c>
      <c r="W369" s="3">
        <f t="shared" si="120"/>
        <v>0</v>
      </c>
      <c r="X369" s="3">
        <f t="shared" si="121"/>
        <v>0</v>
      </c>
      <c r="Y369" s="3">
        <f t="shared" si="113"/>
        <v>0</v>
      </c>
      <c r="Z369" s="3">
        <f t="shared" si="114"/>
        <v>0</v>
      </c>
      <c r="AA369" s="3">
        <f t="shared" si="115"/>
        <v>0</v>
      </c>
    </row>
    <row r="370" spans="1:27" x14ac:dyDescent="0.25">
      <c r="A370" s="3">
        <f t="shared" si="110"/>
        <v>1</v>
      </c>
      <c r="B370" s="113">
        <f t="shared" si="116"/>
        <v>2.9399999999999813</v>
      </c>
      <c r="C370" s="117">
        <f t="shared" si="126"/>
        <v>3.9595200000000048</v>
      </c>
      <c r="D370" s="117">
        <f t="shared" si="124"/>
        <v>3.9745200000000049</v>
      </c>
      <c r="E370" s="117">
        <f t="shared" si="109"/>
        <v>4.0062399999999974</v>
      </c>
      <c r="F370" s="117">
        <f t="shared" si="129"/>
        <v>4.021239999999997</v>
      </c>
      <c r="G370" s="117">
        <f t="shared" si="125"/>
        <v>3.0040000000000013</v>
      </c>
      <c r="H370" s="117">
        <f t="shared" si="123"/>
        <v>3.0190000000000015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7"/>
        <v>1</v>
      </c>
      <c r="L370" s="10">
        <f t="shared" si="127"/>
        <v>3.9595200000000048</v>
      </c>
      <c r="M370" s="126">
        <f t="shared" ref="M370:M376" si="130">IF($K370=0,IF($I370&gt;$B$16,M369+($B$20-M369)*M$74-K$72,M369-M369/M$74),IF($I370&gt;$B$17,M369+($B$20-M369)*M$74-K$72,M369-M369/M$74))</f>
        <v>2.4</v>
      </c>
      <c r="N370" s="126">
        <f t="shared" si="107"/>
        <v>2.4</v>
      </c>
      <c r="O370" s="126">
        <f>IF(OR($B$22=constants!$B$60,AND(I370&gt;$B$12,$B$12&lt;&gt;-1)),O369+(N370-O369)*$O$74,O369+(L370-O369)*$O$74)</f>
        <v>2.4</v>
      </c>
      <c r="P370" s="126">
        <f t="shared" si="111"/>
        <v>2.38</v>
      </c>
      <c r="Q370" s="123">
        <f t="shared" si="128"/>
        <v>2</v>
      </c>
      <c r="R370" s="123">
        <f t="shared" si="118"/>
        <v>2</v>
      </c>
      <c r="S370" s="3">
        <f t="shared" si="112"/>
        <v>0</v>
      </c>
      <c r="T370" s="3">
        <f t="shared" si="112"/>
        <v>0</v>
      </c>
      <c r="U370" s="3">
        <f t="shared" si="112"/>
        <v>0</v>
      </c>
      <c r="V370" s="3">
        <f t="shared" si="119"/>
        <v>0</v>
      </c>
      <c r="W370" s="3">
        <f t="shared" si="120"/>
        <v>0</v>
      </c>
      <c r="X370" s="3">
        <f t="shared" si="121"/>
        <v>0</v>
      </c>
      <c r="Y370" s="3">
        <f t="shared" si="113"/>
        <v>0</v>
      </c>
      <c r="Z370" s="3">
        <f t="shared" si="114"/>
        <v>0</v>
      </c>
      <c r="AA370" s="3">
        <f t="shared" si="115"/>
        <v>0</v>
      </c>
    </row>
    <row r="371" spans="1:27" x14ac:dyDescent="0.25">
      <c r="A371" s="3">
        <f t="shared" si="110"/>
        <v>1</v>
      </c>
      <c r="B371" s="113">
        <f t="shared" si="116"/>
        <v>2.9499999999999811</v>
      </c>
      <c r="C371" s="117">
        <f t="shared" si="126"/>
        <v>3.9566000000000048</v>
      </c>
      <c r="D371" s="117">
        <f t="shared" si="124"/>
        <v>3.9716000000000049</v>
      </c>
      <c r="E371" s="117">
        <f t="shared" si="109"/>
        <v>4.0076999999999972</v>
      </c>
      <c r="F371" s="117">
        <f t="shared" si="129"/>
        <v>4.0226999999999968</v>
      </c>
      <c r="G371" s="117">
        <f t="shared" si="125"/>
        <v>3.0030000000000014</v>
      </c>
      <c r="H371" s="117">
        <f t="shared" si="123"/>
        <v>3.0180000000000016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7"/>
        <v>1</v>
      </c>
      <c r="L371" s="10">
        <f t="shared" si="127"/>
        <v>3.9566000000000048</v>
      </c>
      <c r="M371" s="126">
        <f t="shared" si="130"/>
        <v>2.4</v>
      </c>
      <c r="N371" s="126">
        <f t="shared" si="107"/>
        <v>2.4</v>
      </c>
      <c r="O371" s="126">
        <f>IF(OR($B$22=constants!$B$60,AND(I371&gt;$B$12,$B$12&lt;&gt;-1)),O370+(N371-O370)*$O$74,O370+(L371-O370)*$O$74)</f>
        <v>2.4</v>
      </c>
      <c r="P371" s="126">
        <f t="shared" si="111"/>
        <v>2.38</v>
      </c>
      <c r="Q371" s="123">
        <f t="shared" si="128"/>
        <v>2</v>
      </c>
      <c r="R371" s="123">
        <f t="shared" si="118"/>
        <v>2</v>
      </c>
      <c r="S371" s="3">
        <f t="shared" si="112"/>
        <v>0</v>
      </c>
      <c r="T371" s="3">
        <f t="shared" si="112"/>
        <v>0</v>
      </c>
      <c r="U371" s="3">
        <f t="shared" si="112"/>
        <v>0</v>
      </c>
      <c r="V371" s="3">
        <f t="shared" si="119"/>
        <v>0</v>
      </c>
      <c r="W371" s="3">
        <f t="shared" si="120"/>
        <v>0</v>
      </c>
      <c r="X371" s="3">
        <f t="shared" si="121"/>
        <v>0</v>
      </c>
      <c r="Y371" s="3">
        <f t="shared" si="113"/>
        <v>0</v>
      </c>
      <c r="Z371" s="3">
        <f t="shared" si="114"/>
        <v>0</v>
      </c>
      <c r="AA371" s="3">
        <f t="shared" si="115"/>
        <v>0</v>
      </c>
    </row>
    <row r="372" spans="1:27" x14ac:dyDescent="0.25">
      <c r="A372" s="3">
        <f t="shared" si="110"/>
        <v>1</v>
      </c>
      <c r="B372" s="113">
        <f t="shared" si="116"/>
        <v>2.9599999999999809</v>
      </c>
      <c r="C372" s="117">
        <f t="shared" si="126"/>
        <v>3.9536800000000047</v>
      </c>
      <c r="D372" s="117">
        <f t="shared" si="124"/>
        <v>3.9686800000000049</v>
      </c>
      <c r="E372" s="117">
        <f t="shared" si="109"/>
        <v>4.0091599999999969</v>
      </c>
      <c r="F372" s="117">
        <f t="shared" si="129"/>
        <v>4.0241599999999966</v>
      </c>
      <c r="G372" s="117">
        <f t="shared" si="125"/>
        <v>3.0020000000000011</v>
      </c>
      <c r="H372" s="117">
        <f t="shared" si="123"/>
        <v>3.0170000000000012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7"/>
        <v>1</v>
      </c>
      <c r="L372" s="10">
        <f t="shared" si="127"/>
        <v>3.9536800000000047</v>
      </c>
      <c r="M372" s="126">
        <f t="shared" si="130"/>
        <v>2.4</v>
      </c>
      <c r="N372" s="126">
        <f t="shared" si="107"/>
        <v>2.4</v>
      </c>
      <c r="O372" s="126">
        <f>IF(OR($B$22=constants!$B$60,AND(I372&gt;$B$12,$B$12&lt;&gt;-1)),O371+(N372-O371)*$O$74,O371+(L372-O371)*$O$74)</f>
        <v>2.4</v>
      </c>
      <c r="P372" s="126">
        <f t="shared" si="111"/>
        <v>2.38</v>
      </c>
      <c r="Q372" s="123">
        <f t="shared" si="128"/>
        <v>2</v>
      </c>
      <c r="R372" s="123">
        <f t="shared" si="118"/>
        <v>2</v>
      </c>
      <c r="S372" s="3">
        <f t="shared" si="112"/>
        <v>0</v>
      </c>
      <c r="T372" s="3">
        <f t="shared" si="112"/>
        <v>0</v>
      </c>
      <c r="U372" s="3">
        <f t="shared" si="112"/>
        <v>0</v>
      </c>
      <c r="V372" s="3">
        <f t="shared" si="119"/>
        <v>0</v>
      </c>
      <c r="W372" s="3">
        <f t="shared" si="120"/>
        <v>0</v>
      </c>
      <c r="X372" s="3">
        <f t="shared" si="121"/>
        <v>0</v>
      </c>
      <c r="Y372" s="3">
        <f t="shared" si="113"/>
        <v>0</v>
      </c>
      <c r="Z372" s="3">
        <f t="shared" si="114"/>
        <v>0</v>
      </c>
      <c r="AA372" s="3">
        <f t="shared" si="115"/>
        <v>0</v>
      </c>
    </row>
    <row r="373" spans="1:27" x14ac:dyDescent="0.25">
      <c r="A373" s="3">
        <f t="shared" si="110"/>
        <v>1</v>
      </c>
      <c r="B373" s="113">
        <f t="shared" si="116"/>
        <v>2.9699999999999807</v>
      </c>
      <c r="C373" s="117">
        <f t="shared" si="126"/>
        <v>3.9507600000000052</v>
      </c>
      <c r="D373" s="117">
        <f>C373+$D$74</f>
        <v>3.9657600000000053</v>
      </c>
      <c r="E373" s="117">
        <f t="shared" si="109"/>
        <v>4.0106199999999967</v>
      </c>
      <c r="F373" s="117">
        <f t="shared" si="129"/>
        <v>4.0256199999999964</v>
      </c>
      <c r="G373" s="117">
        <f t="shared" si="125"/>
        <v>3.0010000000000012</v>
      </c>
      <c r="H373" s="117">
        <f t="shared" si="123"/>
        <v>3.0160000000000013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7"/>
        <v>1</v>
      </c>
      <c r="L373" s="10">
        <f t="shared" si="127"/>
        <v>3.9507600000000052</v>
      </c>
      <c r="M373" s="126">
        <f t="shared" si="130"/>
        <v>2.4</v>
      </c>
      <c r="N373" s="126">
        <f t="shared" si="107"/>
        <v>2.4</v>
      </c>
      <c r="O373" s="126">
        <f>IF(OR($B$22=constants!$B$60,AND(I373&gt;$B$12,$B$12&lt;&gt;-1)),O372+(N373-O372)*$O$74,O372+(L373-O372)*$O$74)</f>
        <v>2.4</v>
      </c>
      <c r="P373" s="126">
        <f t="shared" si="111"/>
        <v>2.38</v>
      </c>
      <c r="Q373" s="123">
        <f t="shared" si="128"/>
        <v>2</v>
      </c>
      <c r="R373" s="123">
        <f t="shared" si="118"/>
        <v>2</v>
      </c>
      <c r="S373" s="3">
        <f t="shared" si="112"/>
        <v>0</v>
      </c>
      <c r="T373" s="3">
        <f t="shared" si="112"/>
        <v>0</v>
      </c>
      <c r="U373" s="3">
        <f t="shared" si="112"/>
        <v>0</v>
      </c>
      <c r="V373" s="3">
        <f t="shared" si="119"/>
        <v>0</v>
      </c>
      <c r="W373" s="3">
        <f t="shared" si="120"/>
        <v>0</v>
      </c>
      <c r="X373" s="3">
        <f t="shared" si="121"/>
        <v>0</v>
      </c>
      <c r="Y373" s="3">
        <f t="shared" si="113"/>
        <v>0</v>
      </c>
      <c r="Z373" s="3">
        <f t="shared" si="114"/>
        <v>0</v>
      </c>
      <c r="AA373" s="3">
        <f t="shared" si="115"/>
        <v>0</v>
      </c>
    </row>
    <row r="374" spans="1:27" x14ac:dyDescent="0.25">
      <c r="A374" s="3">
        <f t="shared" si="110"/>
        <v>1</v>
      </c>
      <c r="B374" s="113">
        <f t="shared" si="116"/>
        <v>2.9799999999999804</v>
      </c>
      <c r="C374" s="117">
        <f t="shared" si="126"/>
        <v>3.9478400000000051</v>
      </c>
      <c r="D374" s="117">
        <f>C374+$D$74</f>
        <v>3.9628400000000052</v>
      </c>
      <c r="E374" s="117">
        <f t="shared" si="109"/>
        <v>4.0120799999999965</v>
      </c>
      <c r="F374" s="117">
        <f t="shared" si="129"/>
        <v>4.0270799999999962</v>
      </c>
      <c r="G374" s="117">
        <f t="shared" si="125"/>
        <v>3.0000000000000013</v>
      </c>
      <c r="H374" s="117">
        <f t="shared" si="123"/>
        <v>3.0150000000000015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7"/>
        <v>1</v>
      </c>
      <c r="L374" s="10">
        <f t="shared" si="127"/>
        <v>3.9478400000000051</v>
      </c>
      <c r="M374" s="126">
        <f t="shared" si="130"/>
        <v>2.4</v>
      </c>
      <c r="N374" s="126">
        <f t="shared" si="107"/>
        <v>2.4</v>
      </c>
      <c r="O374" s="126">
        <f>IF(OR($B$22=constants!$B$60,AND(I374&gt;$B$12,$B$12&lt;&gt;-1)),O373+(N374-O373)*$O$74,O373+(L374-O373)*$O$74)</f>
        <v>2.4</v>
      </c>
      <c r="P374" s="126">
        <f t="shared" si="111"/>
        <v>2.38</v>
      </c>
      <c r="Q374" s="123">
        <f t="shared" si="128"/>
        <v>2</v>
      </c>
      <c r="R374" s="123">
        <f t="shared" si="118"/>
        <v>2</v>
      </c>
      <c r="S374" s="3">
        <f t="shared" si="112"/>
        <v>0</v>
      </c>
      <c r="T374" s="3">
        <f t="shared" si="112"/>
        <v>0</v>
      </c>
      <c r="U374" s="3">
        <f t="shared" si="112"/>
        <v>0</v>
      </c>
      <c r="V374" s="3">
        <f t="shared" si="119"/>
        <v>0</v>
      </c>
      <c r="W374" s="3">
        <f t="shared" si="120"/>
        <v>0</v>
      </c>
      <c r="X374" s="3">
        <f t="shared" si="121"/>
        <v>0</v>
      </c>
      <c r="Y374" s="3">
        <f t="shared" si="113"/>
        <v>0</v>
      </c>
      <c r="Z374" s="3">
        <f t="shared" si="114"/>
        <v>0</v>
      </c>
      <c r="AA374" s="3">
        <f t="shared" si="115"/>
        <v>0</v>
      </c>
    </row>
    <row r="375" spans="1:27" x14ac:dyDescent="0.25">
      <c r="A375" s="3">
        <f t="shared" si="110"/>
        <v>1</v>
      </c>
      <c r="B375" s="113">
        <f t="shared" si="116"/>
        <v>2.9899999999999802</v>
      </c>
      <c r="C375" s="117">
        <f t="shared" si="126"/>
        <v>3.9449200000000051</v>
      </c>
      <c r="D375" s="117">
        <f>C375+$D$74</f>
        <v>3.9599200000000052</v>
      </c>
      <c r="E375" s="117">
        <f t="shared" si="109"/>
        <v>4.0135399999999972</v>
      </c>
      <c r="F375" s="117">
        <f t="shared" si="129"/>
        <v>4.0285399999999969</v>
      </c>
      <c r="G375" s="117">
        <f t="shared" si="125"/>
        <v>2.9990000000000014</v>
      </c>
      <c r="H375" s="117">
        <f t="shared" si="123"/>
        <v>3.0140000000000016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7"/>
        <v>1</v>
      </c>
      <c r="L375" s="10">
        <f t="shared" si="127"/>
        <v>3.9449200000000051</v>
      </c>
      <c r="M375" s="126">
        <f t="shared" si="130"/>
        <v>2.4</v>
      </c>
      <c r="N375" s="126">
        <f t="shared" si="107"/>
        <v>2.4</v>
      </c>
      <c r="O375" s="126">
        <f>IF(OR($B$22=constants!$B$60,AND(I375&gt;$B$12,$B$12&lt;&gt;-1)),O374+(N375-O374)*$O$74,O374+(L375-O374)*$O$74)</f>
        <v>2.4</v>
      </c>
      <c r="P375" s="126">
        <f t="shared" si="111"/>
        <v>2.38</v>
      </c>
      <c r="Q375" s="123">
        <f t="shared" si="128"/>
        <v>2</v>
      </c>
      <c r="R375" s="123">
        <f t="shared" si="118"/>
        <v>2</v>
      </c>
      <c r="S375" s="3">
        <f t="shared" si="112"/>
        <v>0</v>
      </c>
      <c r="T375" s="3">
        <f t="shared" si="112"/>
        <v>0</v>
      </c>
      <c r="U375" s="3">
        <f t="shared" si="112"/>
        <v>0</v>
      </c>
      <c r="V375" s="3">
        <f t="shared" si="119"/>
        <v>0</v>
      </c>
      <c r="W375" s="3">
        <f t="shared" si="120"/>
        <v>0</v>
      </c>
      <c r="X375" s="3">
        <f t="shared" si="121"/>
        <v>0</v>
      </c>
      <c r="Y375" s="3">
        <f t="shared" si="113"/>
        <v>0</v>
      </c>
      <c r="Z375" s="3">
        <f t="shared" si="114"/>
        <v>0</v>
      </c>
      <c r="AA375" s="3">
        <f t="shared" si="115"/>
        <v>0</v>
      </c>
    </row>
    <row r="376" spans="1:27" x14ac:dyDescent="0.25">
      <c r="A376" s="3">
        <f t="shared" si="110"/>
        <v>1</v>
      </c>
      <c r="B376" s="113">
        <f t="shared" si="116"/>
        <v>2.99999999999998</v>
      </c>
      <c r="C376" s="117">
        <f t="shared" si="126"/>
        <v>3.9420000000000051</v>
      </c>
      <c r="D376" s="117">
        <f>C376+$D$74</f>
        <v>3.9570000000000052</v>
      </c>
      <c r="E376" s="117">
        <f t="shared" si="109"/>
        <v>4.014999999999997</v>
      </c>
      <c r="F376" s="117">
        <f t="shared" si="129"/>
        <v>4.0299999999999967</v>
      </c>
      <c r="G376" s="117">
        <f t="shared" si="125"/>
        <v>2.9980000000000016</v>
      </c>
      <c r="H376" s="117">
        <f t="shared" si="123"/>
        <v>3.0130000000000017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7"/>
        <v>1</v>
      </c>
      <c r="L376" s="10">
        <f t="shared" si="127"/>
        <v>3.9420000000000051</v>
      </c>
      <c r="M376" s="126">
        <f t="shared" si="130"/>
        <v>2.4</v>
      </c>
      <c r="N376" s="126">
        <f t="shared" si="107"/>
        <v>2.4</v>
      </c>
      <c r="O376" s="126">
        <f>IF(OR($B$22=constants!$B$60,AND(I376&gt;$B$12,$B$12&lt;&gt;-1)),O375+(N376-O375)*$O$74,O375+(L376-O375)*$O$74)</f>
        <v>2.4</v>
      </c>
      <c r="P376" s="126">
        <f t="shared" si="111"/>
        <v>2.38</v>
      </c>
      <c r="Q376" s="123">
        <f t="shared" si="128"/>
        <v>2</v>
      </c>
      <c r="R376" s="123">
        <f t="shared" si="118"/>
        <v>2</v>
      </c>
      <c r="S376" s="3">
        <f t="shared" si="112"/>
        <v>0</v>
      </c>
      <c r="T376" s="3">
        <f t="shared" si="112"/>
        <v>0</v>
      </c>
      <c r="U376" s="3">
        <f t="shared" si="112"/>
        <v>0</v>
      </c>
      <c r="V376" s="3">
        <f t="shared" si="119"/>
        <v>0</v>
      </c>
      <c r="W376" s="3">
        <f t="shared" si="120"/>
        <v>0</v>
      </c>
      <c r="X376" s="3">
        <f t="shared" si="121"/>
        <v>0</v>
      </c>
      <c r="Y376" s="3">
        <f t="shared" si="113"/>
        <v>0</v>
      </c>
      <c r="Z376" s="3">
        <f t="shared" si="114"/>
        <v>0</v>
      </c>
      <c r="AA376" s="3">
        <f t="shared" si="115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Daniel Studer</cp:lastModifiedBy>
  <cp:lastPrinted>2015-07-10T08:56:19Z</cp:lastPrinted>
  <dcterms:created xsi:type="dcterms:W3CDTF">2015-05-15T08:52:42Z</dcterms:created>
  <dcterms:modified xsi:type="dcterms:W3CDTF">2015-11-13T13:17:11Z</dcterms:modified>
</cp:coreProperties>
</file>