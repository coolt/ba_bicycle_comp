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rin\Documents\Dokumente\ZHAW\5Jahr\ba_bicycle_comp\Configurationsdateien\"/>
    </mc:Choice>
  </mc:AlternateContent>
  <workbookProtection workbookPassword="9051" lockStructure="1"/>
  <bookViews>
    <workbookView xWindow="-12" yWindow="-12" windowWidth="14400" windowHeight="12240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V216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V302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V355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<sst xmlns="http://schemas.openxmlformats.org/spreadsheetml/2006/main" count="1186" uniqueCount="699">
  <si>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</si>
  <si>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</si>
  <si>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</si>
  <si>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</si>
  <si>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</si>
  <si>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</si>
  <si>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</si>
  <si>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</si>
  <si>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</si>
  <si>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</si>
  <si>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</si>
  <si>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</si>
  <si>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</si>
  <si>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</si>
  <si>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</si>
  <si>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</si>
  <si>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</si>
  <si>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</si>
  <si>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</si>
  <si>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</si>
  <si>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</si>
  <si>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</si>
  <si>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</si>
  <si>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</si>
  <si>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</si>
  <si>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</si>
  <si>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</si>
  <si>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</si>
  <si>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</si>
  <si>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</si>
  <si>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</si>
  <si>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</si>
  <si>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</si>
  <si>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</si>
  <si>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</si>
  <si>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</si>
  <si>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</si>
  <si>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</si>
  <si>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</si>
  <si>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</si>
  <si>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</si>
  <si>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</si>
  <si>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</si>
  <si>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</si>
  <si>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</si>
  <si>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</si>
  <si>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</si>
  <si>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</si>
  <si>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</si>
  <si>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</si>
  <si>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</si>
  <si>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</si>
  <si>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</si>
  <si>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</si>
  <si>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</si>
  <si>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</si>
  <si>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</si>
  <si>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</si>
  <si>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</si>
  <si>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</si>
  <si>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</si>
  <si>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</si>
  <si>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</si>
  <si>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</si>
  <si>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</si>
  <si>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</si>
  <si>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</si>
  <si>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</si>
  <si>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</si>
  <si>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</si>
  <si>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</si>
  <si>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</si>
  <si>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</si>
  <si>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</si>
  <si>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</si>
  <si>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</si>
  <si>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</si>
  <si>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</si>
  <si>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</si>
  <si>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</si>
  <si>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</si>
  <si>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</si>
  <si>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</si>
  <si>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</si>
  <si>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</si>
  <si>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</si>
  <si>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</si>
  <si>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</si>
  <si>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</si>
  <si>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</si>
  <si>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</si>
  <si>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</si>
  <si>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</si>
  <si>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</si>
  <si>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</si>
  <si>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</si>
  <si>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</si>
  <si>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</si>
  <si>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</si>
  <si>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</si>
  <si>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</si>
  <si>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</si>
  <si>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</si>
  <si>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</si>
  <si>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</si>
  <si>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</si>
  <si>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</si>
  <si>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</si>
  <si>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</si>
  <si>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</si>
  <si>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</si>
  <si>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</si>
  <si>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</si>
  <si>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</si>
  <si>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</si>
  <si>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</si>
  <si>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</si>
  <si>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</si>
  <si>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</si>
  <si>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</si>
  <si>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</si>
  <si>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</si>
  <si>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</si>
  <si>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</si>
  <si>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</si>
  <si>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</si>
  <si>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</si>
  <si>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</si>
  <si>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</si>
  <si>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</si>
  <si>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</si>
  <si>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</si>
  <si>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</si>
  <si>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</si>
  <si>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</si>
  <si>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</si>
  <si>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</si>
  <si>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</si>
  <si>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</si>
  <si>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</si>
  <si>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</si>
  <si>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</si>
  <si>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</si>
  <si>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</si>
  <si>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</si>
  <si>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</si>
  <si>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</si>
  <si>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</si>
  <si>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</si>
  <si>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</si>
  <si>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</si>
  <si>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</si>
  <si>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</si>
  <si>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</si>
  <si>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</si>
  <si>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</si>
  <si>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</si>
  <si>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</si>
  <si>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</si>
  <si>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</si>
  <si>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</si>
  <si>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</si>
  <si>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</si>
  <si>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</si>
  <si>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</si>
  <si>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</si>
  <si>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</si>
  <si>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</si>
  <si>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</si>
  <si>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</si>
  <si>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</si>
  <si>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</si>
  <si>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</si>
  <si>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</si>
  <si>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</si>
  <si>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</si>
  <si>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</si>
  <si>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</si>
  <si>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</si>
  <si>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</si>
  <si>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</si>
  <si>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</si>
  <si>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</si>
  <si>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</si>
  <si>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</si>
  <si>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</si>
  <si>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</si>
  <si>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</si>
  <si>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</si>
  <si>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</si>
  <si>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</si>
  <si>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</si>
  <si>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</si>
  <si>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</si>
  <si>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</si>
  <si>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</si>
  <si>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</si>
  <si>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</si>
  <si>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</si>
  <si>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</si>
  <si>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</si>
  <si>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</si>
  <si>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</si>
  <si>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</si>
  <si>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</si>
  <si>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</si>
  <si>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</si>
  <si>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</si>
  <si>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</si>
  <si>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</si>
  <si>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</si>
  <si>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</si>
  <si>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</si>
  <si>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</si>
  <si>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</si>
  <si>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</si>
  <si>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</si>
  <si>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</si>
  <si>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</si>
  <si>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</si>
  <si>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</si>
  <si>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</si>
  <si>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</si>
  <si>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</si>
  <si>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</si>
  <si>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</si>
  <si>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</si>
  <si>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</si>
  <si>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</si>
  <si>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</si>
  <si>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</si>
  <si>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</si>
  <si>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</si>
  <si>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</si>
  <si>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</si>
  <si>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</si>
  <si>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</si>
  <si>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</si>
  <si>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</si>
  <si>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</si>
  <si>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</si>
  <si>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</si>
  <si>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</si>
  <si>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</si>
  <si>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</si>
  <si>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</si>
  <si>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</si>
  <si>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</si>
  <si>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</si>
  <si>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</si>
  <si>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</si>
  <si>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</si>
  <si>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</si>
  <si>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</si>
  <si>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</si>
  <si>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</si>
  <si>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</si>
  <si>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</si>
  <si>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</si>
  <si>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</si>
  <si>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</si>
  <si>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</si>
  <si>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</si>
  <si>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</si>
  <si>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</si>
  <si>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</si>
  <si>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</si>
  <si>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</si>
  <si>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</si>
  <si>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</si>
  <si>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</si>
  <si>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</si>
  <si>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</si>
  <si>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</si>
  <si>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</si>
  <si>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</si>
  <si>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</si>
  <si>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</si>
  <si>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</si>
  <si>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</si>
  <si>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</si>
  <si>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</si>
  <si>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</si>
  <si>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</si>
  <si>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</si>
  <si>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</si>
  <si>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</si>
  <si>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</si>
  <si>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</si>
  <si>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</si>
  <si>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</si>
  <si>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</si>
  <si>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</si>
  <si>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</si>
  <si>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</si>
  <si>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</si>
  <si>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</si>
  <si>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</si>
  <si>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</si>
  <si>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</si>
  <si>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</si>
  <si>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</si>
  <si>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</si>
  <si>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</si>
  <si>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</si>
  <si>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</si>
  <si>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</si>
  <si>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</si>
  <si>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</si>
  <si>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</si>
  <si>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</si>
  <si>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</si>
  <si>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</si>
  <si>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</si>
  <si>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</si>
  <si>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</si>
  <si>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</si>
  <si>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</si>
  <si>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</si>
  <si>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</si>
  <si>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</si>
  <si>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</si>
  <si>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</si>
  <si>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</si>
  <si>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</si>
  <si>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</si>
  <si>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</si>
  <si>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</si>
  <si>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</si>
  <si>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</si>
  <si>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</si>
  <si>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</si>
  <si>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</si>
  <si>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</si>
  <si>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</si>
  <si>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</si>
  <si>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</si>
  <si>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</si>
  <si>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</si>
  <si>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</si>
  <si>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</si>
  <si>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</si>
  <si>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</si>
  <si>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</si>
  <si>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</si>
  <si>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</si>
  <si>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</si>
  <si>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</si>
  <si>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</si>
  <si>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</si>
  <si>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</si>
  <si>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</si>
  <si>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</si>
  <si>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</si>
  <si>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</si>
  <si>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</si>
  <si>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</si>
  <si>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</si>
  <si>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</si>
  <si>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</si>
  <si>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</si>
  <si>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</si>
  <si>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</si>
  <si>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</si>
  <si>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</si>
  <si>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</si>
  <si>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</si>
  <si>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</si>
  <si>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</si>
  <si>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</si>
  <si>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</si>
  <si>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</si>
  <si>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</si>
  <si>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</si>
  <si>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</si>
  <si>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</si>
  <si>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</si>
  <si>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</si>
  <si>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</si>
  <si>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</si>
  <si>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</si>
  <si>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</si>
  <si>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</si>
  <si>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</si>
  <si>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</si>
  <si>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</si>
  <si>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</si>
  <si>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</si>
  <si>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</si>
  <si>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</si>
  <si>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</si>
  <si>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</si>
  <si>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</si>
  <si>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</si>
  <si>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</si>
  <si>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</si>
  <si>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</si>
  <si>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</si>
  <si>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</si>
  <si>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</si>
  <si>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</si>
  <si>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</si>
  <si>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</si>
  <si>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</si>
  <si>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</si>
  <si>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</si>
  <si>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</si>
  <si>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</si>
  <si>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</si>
  <si>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</si>
  <si>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</si>
  <si>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</si>
  <si>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</si>
  <si>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</si>
  <si>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</si>
  <si>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</si>
  <si>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</si>
  <si>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</si>
  <si>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</si>
  <si>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</si>
  <si>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</si>
  <si>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</si>
  <si>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</si>
  <si>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</si>
  <si>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</si>
  <si>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</si>
  <si>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</si>
  <si>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</si>
  <si>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</si>
  <si>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</si>
  <si>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</si>
  <si>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</si>
  <si>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</si>
  <si>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</si>
  <si>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</si>
  <si>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</si>
  <si>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</si>
  <si>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</si>
  <si>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</si>
  <si>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</si>
  <si>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</si>
  <si>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</si>
  <si>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</si>
  <si>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</si>
  <si>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</si>
  <si>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</si>
  <si>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</si>
  <si>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</si>
  <si>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</si>
  <si>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</si>
  <si>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</si>
  <si>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</si>
  <si>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</si>
  <si>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</si>
  <si>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</si>
  <si>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</si>
  <si>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</si>
  <si>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</si>
  <si>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</si>
  <si>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</si>
  <si>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</si>
  <si>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</si>
  <si>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</si>
  <si>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</si>
  <si>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</si>
  <si>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</si>
  <si>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</si>
  <si>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</si>
  <si>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</si>
  <si>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</si>
  <si>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</si>
  <si>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</si>
  <si>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</si>
  <si>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</si>
  <si>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</si>
  <si>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</si>
  <si>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</si>
  <si>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</si>
  <si>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</si>
  <si>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</si>
  <si>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</si>
  <si>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</si>
  <si>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</si>
  <si>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</si>
  <si>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</si>
  <si>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</si>
  <si>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</si>
  <si>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</si>
  <si>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</si>
  <si>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</si>
  <si>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</si>
  <si>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</si>
  <si>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</si>
  <si>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</si>
  <si>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</si>
  <si>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</si>
  <si>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</si>
  <si>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</si>
  <si>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</si>
  <si>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</si>
  <si>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</si>
  <si>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</si>
  <si>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</si>
  <si>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</si>
  <si>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</si>
  <si>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</si>
  <si>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</si>
  <si>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</si>
  <si>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</si>
  <si>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</si>
  <si>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</si>
  <si>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</si>
  <si>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</si>
  <si>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</si>
  <si>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</si>
  <si>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</si>
  <si>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</si>
  <si>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</si>
  <si>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</si>
  <si>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</si>
  <si>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</si>
  <si>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</si>
  <si>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</si>
  <si>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</si>
  <si>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</si>
  <si>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</si>
  <si>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</si>
  <si>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</si>
  <si>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</si>
  <si>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</si>
  <si>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</si>
  <si>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</si>
  <si>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</si>
  <si>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</si>
  <si>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</si>
  <si>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</si>
  <si>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</si>
  <si>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</si>
  <si>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</si>
  <si>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</si>
  <si>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</si>
  <si>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</si>
  <si>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</si>
  <si>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</si>
  <si>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</si>
  <si>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</si>
  <si>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</si>
  <si>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</si>
  <si>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</si>
  <si>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</si>
  <si>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</si>
  <si>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</si>
  <si>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</si>
  <si>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</si>
  <si>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</si>
  <si>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</si>
  <si>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</si>
  <si>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</si>
  <si>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</si>
  <si>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</si>
  <si>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</si>
  <si>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</si>
  <si>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</si>
  <si>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</si>
  <si>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</si>
  <si>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</si>
  <si>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</si>
  <si>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</si>
  <si>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</si>
  <si>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</si>
  <si>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</si>
  <si>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</si>
  <si>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</si>
  <si>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</si>
  <si>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</si>
  <si>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</si>
  <si>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</si>
  <si>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</si>
  <si>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</si>
  <si>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</si>
  <si>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</si>
  <si>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</si>
  <si>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</si>
  <si>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</si>
  <si>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</si>
  <si>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</si>
  <si>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</si>
  <si>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</si>
  <si>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</si>
  <si>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</si>
  <si>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</si>
  <si>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</si>
  <si>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</si>
  <si>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</si>
  <si>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</si>
  <si>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</si>
  <si>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</si>
  <si>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</si>
  <si>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</si>
  <si>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</si>
  <si>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</si>
  <si>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</si>
  <si>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</si>
  <si>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</si>
  <si>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</si>
  <si>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</si>
  <si>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</si>
  <si>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</si>
  <si>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</si>
  <si>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</si>
  <si>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</si>
  <si>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</si>
  <si>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</si>
  <si>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</si>
  <si>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</si>
  <si>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</si>
  <si>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</si>
  <si>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</si>
  <si>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</si>
  <si>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</si>
  <si>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</si>
  <si>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</si>
  <si>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</si>
  <si>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</si>
  <si>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</si>
  <si>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</si>
  <si>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</si>
  <si>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</si>
  <si>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</si>
  <si>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</si>
  <si>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</si>
  <si>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</si>
  <si>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</si>
  <si>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</si>
  <si>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</si>
  <si>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</si>
  <si>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</si>
  <si>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</si>
  <si>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</si>
  <si>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</si>
  <si>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</si>
  <si>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</si>
  <si>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</si>
  <si>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</si>
  <si>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</si>
  <si>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</si>
  <si>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</si>
  <si>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</si>
  <si>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</si>
  <si>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</si>
  <si>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</si>
  <si>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</si>
  <si>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</si>
  <si>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</si>
  <si>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</si>
  <si>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</si>
  <si>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</si>
  <si>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</si>
  <si>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</si>
  <si>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</si>
  <si>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</si>
  <si>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</si>
  <si>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</si>
  <si>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</si>
  <si>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</si>
  <si>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</si>
  <si>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</si>
  <si>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</si>
  <si>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</si>
  <si>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</si>
  <si>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</si>
  <si>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</si>
  <si>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</si>
  <si>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</si>
  <si>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</si>
  <si>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</si>
  <si>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</si>
  <si>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</si>
  <si>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</si>
  <si>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</si>
  <si>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</si>
  <si>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</si>
  <si>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</si>
  <si>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</si>
  <si>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</si>
  <si>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</si>
  <si>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</si>
  <si>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</si>
  <si>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</si>
  <si>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</si>
  <si>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</si>
  <si>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</si>
  <si>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</si>
  <si>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</si>
  <si>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</si>
  <si>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9D</t>
  </si>
  <si>
    <t>2d</t>
  </si>
  <si>
    <t>2c</t>
  </si>
  <si>
    <t>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</si>
</sst>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12" fillId="0" borderId="10" xfId="4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3" fillId="7" borderId="3" xfId="9" applyBorder="1" applyAlignment="1" applyProtection="1">
      <alignment horizontal="left" vertical="center"/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(2.48)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1.9159360000000032</c:v>
                </c:pt>
                <c:pt idx="119">
                  <c:v>2.1520816000000034</c:v>
                </c:pt>
                <c:pt idx="120">
                  <c:v>2.218248160000003</c:v>
                </c:pt>
                <c:pt idx="121">
                  <c:v>2.2674168160000039</c:v>
                </c:pt>
                <c:pt idx="122">
                  <c:v>2.3148856816000034</c:v>
                </c:pt>
                <c:pt idx="123">
                  <c:v>2.3621845681600031</c:v>
                </c:pt>
                <c:pt idx="124">
                  <c:v>2.4094664568160038</c:v>
                </c:pt>
                <c:pt idx="125">
                  <c:v>2.4567466456815992</c:v>
                </c:pt>
                <c:pt idx="126">
                  <c:v>2.4483346645681587</c:v>
                </c:pt>
                <c:pt idx="127">
                  <c:v>2.4343534664568147</c:v>
                </c:pt>
                <c:pt idx="128">
                  <c:v>2.41981534664568</c:v>
                </c:pt>
                <c:pt idx="129">
                  <c:v>2.4052215346645669</c:v>
                </c:pt>
                <c:pt idx="130">
                  <c:v>2.3906221534664551</c:v>
                </c:pt>
                <c:pt idx="131">
                  <c:v>2.3760222153466439</c:v>
                </c:pt>
                <c:pt idx="132">
                  <c:v>2.3614222215346632</c:v>
                </c:pt>
                <c:pt idx="133">
                  <c:v>2.3468222221534649</c:v>
                </c:pt>
                <c:pt idx="134">
                  <c:v>2.332222222215345</c:v>
                </c:pt>
                <c:pt idx="135">
                  <c:v>2.3176222222215332</c:v>
                </c:pt>
                <c:pt idx="136">
                  <c:v>2.3030222222221517</c:v>
                </c:pt>
                <c:pt idx="137">
                  <c:v>2.2884222222222141</c:v>
                </c:pt>
                <c:pt idx="138">
                  <c:v>2.2738222222222202</c:v>
                </c:pt>
                <c:pt idx="139">
                  <c:v>2.2592222222222205</c:v>
                </c:pt>
                <c:pt idx="140">
                  <c:v>2.2446222222222207</c:v>
                </c:pt>
                <c:pt idx="141">
                  <c:v>2.2300222222222206</c:v>
                </c:pt>
                <c:pt idx="142">
                  <c:v>2.2154222222222204</c:v>
                </c:pt>
                <c:pt idx="143">
                  <c:v>2.2008222222222207</c:v>
                </c:pt>
                <c:pt idx="144">
                  <c:v>2.1862222222222205</c:v>
                </c:pt>
                <c:pt idx="145">
                  <c:v>2.1716222222222203</c:v>
                </c:pt>
                <c:pt idx="146">
                  <c:v>2.1570222222222206</c:v>
                </c:pt>
                <c:pt idx="147">
                  <c:v>2.1424222222222205</c:v>
                </c:pt>
                <c:pt idx="148">
                  <c:v>2.1278222222222207</c:v>
                </c:pt>
                <c:pt idx="149">
                  <c:v>2.1132222222222206</c:v>
                </c:pt>
                <c:pt idx="150">
                  <c:v>2.0986222222222235</c:v>
                </c:pt>
                <c:pt idx="151">
                  <c:v>2.1103022222222236</c:v>
                </c:pt>
                <c:pt idx="152">
                  <c:v>2.1246102222222238</c:v>
                </c:pt>
                <c:pt idx="153">
                  <c:v>2.1391810222222238</c:v>
                </c:pt>
                <c:pt idx="154">
                  <c:v>2.153778102222224</c:v>
                </c:pt>
                <c:pt idx="155">
                  <c:v>2.168377810222224</c:v>
                </c:pt>
                <c:pt idx="156">
                  <c:v>2.1829777810222235</c:v>
                </c:pt>
                <c:pt idx="157">
                  <c:v>2.1975777781022239</c:v>
                </c:pt>
                <c:pt idx="158">
                  <c:v>2.2121777778102238</c:v>
                </c:pt>
                <c:pt idx="159">
                  <c:v>2.2267777777810238</c:v>
                </c:pt>
                <c:pt idx="160">
                  <c:v>2.2413777777781037</c:v>
                </c:pt>
                <c:pt idx="161">
                  <c:v>2.2559777777778121</c:v>
                </c:pt>
                <c:pt idx="162">
                  <c:v>2.2705777777777825</c:v>
                </c:pt>
                <c:pt idx="163">
                  <c:v>2.28517777777778</c:v>
                </c:pt>
                <c:pt idx="164">
                  <c:v>2.2997777777777793</c:v>
                </c:pt>
                <c:pt idx="165">
                  <c:v>2.3143777777777794</c:v>
                </c:pt>
                <c:pt idx="166">
                  <c:v>2.3289777777777796</c:v>
                </c:pt>
                <c:pt idx="167">
                  <c:v>2.3435777777777793</c:v>
                </c:pt>
                <c:pt idx="168">
                  <c:v>2.3581777777777795</c:v>
                </c:pt>
                <c:pt idx="169">
                  <c:v>2.3727777777777797</c:v>
                </c:pt>
                <c:pt idx="170">
                  <c:v>2.3873777777777794</c:v>
                </c:pt>
                <c:pt idx="171">
                  <c:v>2.4019777777777795</c:v>
                </c:pt>
                <c:pt idx="172">
                  <c:v>2.4165777777777793</c:v>
                </c:pt>
                <c:pt idx="173">
                  <c:v>2.4311777777777794</c:v>
                </c:pt>
                <c:pt idx="174">
                  <c:v>2.4457777777777796</c:v>
                </c:pt>
                <c:pt idx="175">
                  <c:v>2.4603777777777762</c:v>
                </c:pt>
                <c:pt idx="176">
                  <c:v>2.4486977777777756</c:v>
                </c:pt>
                <c:pt idx="177">
                  <c:v>2.4343897777777754</c:v>
                </c:pt>
                <c:pt idx="178">
                  <c:v>2.4198189777777759</c:v>
                </c:pt>
                <c:pt idx="179">
                  <c:v>2.4052218977777757</c:v>
                </c:pt>
                <c:pt idx="180">
                  <c:v>2.3906221897777753</c:v>
                </c:pt>
                <c:pt idx="181">
                  <c:v>2.3760222189777758</c:v>
                </c:pt>
                <c:pt idx="182">
                  <c:v>2.3614222218977754</c:v>
                </c:pt>
                <c:pt idx="183">
                  <c:v>2.3468222221897759</c:v>
                </c:pt>
                <c:pt idx="184">
                  <c:v>2.3322222222189755</c:v>
                </c:pt>
                <c:pt idx="185">
                  <c:v>2.3176222222218956</c:v>
                </c:pt>
                <c:pt idx="186">
                  <c:v>2.3030222222221877</c:v>
                </c:pt>
                <c:pt idx="187">
                  <c:v>2.2884222222222168</c:v>
                </c:pt>
                <c:pt idx="188">
                  <c:v>2.2738222222222193</c:v>
                </c:pt>
                <c:pt idx="189">
                  <c:v>2.25922222222222</c:v>
                </c:pt>
                <c:pt idx="190">
                  <c:v>2.2446222222222199</c:v>
                </c:pt>
                <c:pt idx="191">
                  <c:v>2.2300222222222201</c:v>
                </c:pt>
                <c:pt idx="192">
                  <c:v>2.21542222222222</c:v>
                </c:pt>
                <c:pt idx="193">
                  <c:v>2.2008222222222198</c:v>
                </c:pt>
                <c:pt idx="194">
                  <c:v>2.1862222222222201</c:v>
                </c:pt>
                <c:pt idx="195">
                  <c:v>2.1716222222222199</c:v>
                </c:pt>
                <c:pt idx="196">
                  <c:v>2.1570222222222197</c:v>
                </c:pt>
                <c:pt idx="197">
                  <c:v>2.14242222222222</c:v>
                </c:pt>
                <c:pt idx="198">
                  <c:v>2.1278222222222198</c:v>
                </c:pt>
                <c:pt idx="199">
                  <c:v>2.1132222222222201</c:v>
                </c:pt>
                <c:pt idx="200">
                  <c:v>2.0986222222222324</c:v>
                </c:pt>
                <c:pt idx="201">
                  <c:v>2.1654902222222319</c:v>
                </c:pt>
                <c:pt idx="202">
                  <c:v>2.2405050222222305</c:v>
                </c:pt>
                <c:pt idx="203">
                  <c:v>2.3163345022222286</c:v>
                </c:pt>
                <c:pt idx="204">
                  <c:v>2.392245450222227</c:v>
                </c:pt>
                <c:pt idx="205">
                  <c:v>2.4681645450222249</c:v>
                </c:pt>
                <c:pt idx="206">
                  <c:v>2.5440844545022232</c:v>
                </c:pt>
                <c:pt idx="207">
                  <c:v>2.6200044454502214</c:v>
                </c:pt>
                <c:pt idx="208">
                  <c:v>1.6390004445450221</c:v>
                </c:pt>
                <c:pt idx="209">
                  <c:v>1.5409000444545022</c:v>
                </c:pt>
                <c:pt idx="210">
                  <c:v>1.5310900044454503</c:v>
                </c:pt>
                <c:pt idx="211">
                  <c:v>1.530109000444545</c:v>
                </c:pt>
                <c:pt idx="212">
                  <c:v>1.5300109000444546</c:v>
                </c:pt>
                <c:pt idx="213">
                  <c:v>1.5300010900044454</c:v>
                </c:pt>
                <c:pt idx="214">
                  <c:v>1.5300001090004445</c:v>
                </c:pt>
                <c:pt idx="215">
                  <c:v>1.5300000109000444</c:v>
                </c:pt>
                <c:pt idx="216">
                  <c:v>1.5300000010900046</c:v>
                </c:pt>
                <c:pt idx="217">
                  <c:v>1.5300000001090004</c:v>
                </c:pt>
                <c:pt idx="218">
                  <c:v>1.5300000000109</c:v>
                </c:pt>
                <c:pt idx="219">
                  <c:v>1.53000000000109</c:v>
                </c:pt>
                <c:pt idx="220">
                  <c:v>1.5300000000001091</c:v>
                </c:pt>
                <c:pt idx="221">
                  <c:v>1.5300000000000109</c:v>
                </c:pt>
                <c:pt idx="222">
                  <c:v>1.5300000000000011</c:v>
                </c:pt>
                <c:pt idx="223">
                  <c:v>1.5300000000000002</c:v>
                </c:pt>
                <c:pt idx="224">
                  <c:v>1.53</c:v>
                </c:pt>
                <c:pt idx="225">
                  <c:v>1.53</c:v>
                </c:pt>
                <c:pt idx="226">
                  <c:v>1.53</c:v>
                </c:pt>
                <c:pt idx="227">
                  <c:v>1.53</c:v>
                </c:pt>
                <c:pt idx="228">
                  <c:v>1.53</c:v>
                </c:pt>
                <c:pt idx="229">
                  <c:v>1.53</c:v>
                </c:pt>
                <c:pt idx="230">
                  <c:v>1.53</c:v>
                </c:pt>
                <c:pt idx="231">
                  <c:v>1.53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2.2079200000000099</c:v>
                </c:pt>
                <c:pt idx="202">
                  <c:v>2.2838400000000081</c:v>
                </c:pt>
                <c:pt idx="203">
                  <c:v>2.3597600000000063</c:v>
                </c:pt>
                <c:pt idx="204">
                  <c:v>2.4356800000000045</c:v>
                </c:pt>
                <c:pt idx="205">
                  <c:v>2.5116000000000027</c:v>
                </c:pt>
                <c:pt idx="206">
                  <c:v>2.5875200000000009</c:v>
                </c:pt>
                <c:pt idx="207">
                  <c:v>2.6634399999999991</c:v>
                </c:pt>
                <c:pt idx="208">
                  <c:v>2.7393599999999974</c:v>
                </c:pt>
                <c:pt idx="209">
                  <c:v>2.8152799999999956</c:v>
                </c:pt>
                <c:pt idx="210">
                  <c:v>2.8911999999999956</c:v>
                </c:pt>
                <c:pt idx="211">
                  <c:v>2.9671199999999938</c:v>
                </c:pt>
                <c:pt idx="212">
                  <c:v>3.0430399999999902</c:v>
                </c:pt>
                <c:pt idx="213">
                  <c:v>3.1189599999999902</c:v>
                </c:pt>
                <c:pt idx="214">
                  <c:v>3.1948799999999866</c:v>
                </c:pt>
                <c:pt idx="215">
                  <c:v>3.2707999999999866</c:v>
                </c:pt>
                <c:pt idx="216">
                  <c:v>3.3467199999999866</c:v>
                </c:pt>
                <c:pt idx="217">
                  <c:v>3.422639999999983</c:v>
                </c:pt>
                <c:pt idx="218">
                  <c:v>3.498559999999983</c:v>
                </c:pt>
                <c:pt idx="219">
                  <c:v>3.5744799999999795</c:v>
                </c:pt>
                <c:pt idx="220">
                  <c:v>3.6503999999999794</c:v>
                </c:pt>
                <c:pt idx="221">
                  <c:v>3.7263199999999759</c:v>
                </c:pt>
                <c:pt idx="222">
                  <c:v>3.8022399999999759</c:v>
                </c:pt>
                <c:pt idx="223">
                  <c:v>3.8781599999999723</c:v>
                </c:pt>
                <c:pt idx="224">
                  <c:v>3.9540799999999723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1.3472800000000031</c:v>
                </c:pt>
                <c:pt idx="102">
                  <c:v>1.3945600000000029</c:v>
                </c:pt>
                <c:pt idx="103">
                  <c:v>1.4418400000000027</c:v>
                </c:pt>
                <c:pt idx="104">
                  <c:v>1.4891200000000033</c:v>
                </c:pt>
                <c:pt idx="105">
                  <c:v>1.5364000000000031</c:v>
                </c:pt>
                <c:pt idx="106">
                  <c:v>1.5836800000000029</c:v>
                </c:pt>
                <c:pt idx="107">
                  <c:v>1.6309600000000035</c:v>
                </c:pt>
                <c:pt idx="108">
                  <c:v>1.6782400000000033</c:v>
                </c:pt>
                <c:pt idx="109">
                  <c:v>1.7255200000000031</c:v>
                </c:pt>
                <c:pt idx="110">
                  <c:v>1.7728000000000037</c:v>
                </c:pt>
                <c:pt idx="111">
                  <c:v>1.8200800000000035</c:v>
                </c:pt>
                <c:pt idx="112">
                  <c:v>1.8673600000000032</c:v>
                </c:pt>
                <c:pt idx="113">
                  <c:v>1.914640000000003</c:v>
                </c:pt>
                <c:pt idx="114">
                  <c:v>1.9619200000000037</c:v>
                </c:pt>
                <c:pt idx="115">
                  <c:v>2.0092000000000034</c:v>
                </c:pt>
                <c:pt idx="116">
                  <c:v>2.0564800000000032</c:v>
                </c:pt>
                <c:pt idx="117">
                  <c:v>2.1037600000000038</c:v>
                </c:pt>
                <c:pt idx="118">
                  <c:v>2.1510400000000036</c:v>
                </c:pt>
                <c:pt idx="119">
                  <c:v>2.1983200000000034</c:v>
                </c:pt>
                <c:pt idx="120">
                  <c:v>2.2456000000000031</c:v>
                </c:pt>
                <c:pt idx="121">
                  <c:v>2.2928800000000038</c:v>
                </c:pt>
                <c:pt idx="122">
                  <c:v>2.3401600000000036</c:v>
                </c:pt>
                <c:pt idx="123">
                  <c:v>2.3874400000000033</c:v>
                </c:pt>
                <c:pt idx="124">
                  <c:v>2.434720000000004</c:v>
                </c:pt>
                <c:pt idx="125">
                  <c:v>2.4819999999999984</c:v>
                </c:pt>
                <c:pt idx="126">
                  <c:v>2.4673999999999987</c:v>
                </c:pt>
                <c:pt idx="127">
                  <c:v>2.4527999999999985</c:v>
                </c:pt>
                <c:pt idx="128">
                  <c:v>2.4381999999999984</c:v>
                </c:pt>
                <c:pt idx="129">
                  <c:v>2.4235999999999986</c:v>
                </c:pt>
                <c:pt idx="130">
                  <c:v>2.4089999999999985</c:v>
                </c:pt>
                <c:pt idx="131">
                  <c:v>2.3943999999999983</c:v>
                </c:pt>
                <c:pt idx="132">
                  <c:v>2.3797999999999986</c:v>
                </c:pt>
                <c:pt idx="133">
                  <c:v>2.3651999999999984</c:v>
                </c:pt>
                <c:pt idx="134">
                  <c:v>2.3505999999999982</c:v>
                </c:pt>
                <c:pt idx="135">
                  <c:v>2.3359999999999985</c:v>
                </c:pt>
                <c:pt idx="136">
                  <c:v>2.3213999999999984</c:v>
                </c:pt>
                <c:pt idx="137">
                  <c:v>2.3067999999999986</c:v>
                </c:pt>
                <c:pt idx="138">
                  <c:v>2.2921999999999985</c:v>
                </c:pt>
                <c:pt idx="139">
                  <c:v>2.2775999999999983</c:v>
                </c:pt>
                <c:pt idx="140">
                  <c:v>2.2629999999999986</c:v>
                </c:pt>
                <c:pt idx="141">
                  <c:v>2.2483999999999984</c:v>
                </c:pt>
                <c:pt idx="142">
                  <c:v>2.2337999999999982</c:v>
                </c:pt>
                <c:pt idx="143">
                  <c:v>2.2191999999999985</c:v>
                </c:pt>
                <c:pt idx="144">
                  <c:v>2.2045999999999983</c:v>
                </c:pt>
                <c:pt idx="145">
                  <c:v>2.1899999999999982</c:v>
                </c:pt>
                <c:pt idx="146">
                  <c:v>2.1753999999999984</c:v>
                </c:pt>
                <c:pt idx="147">
                  <c:v>2.1607999999999983</c:v>
                </c:pt>
                <c:pt idx="148">
                  <c:v>2.1461999999999986</c:v>
                </c:pt>
                <c:pt idx="149">
                  <c:v>2.1315999999999984</c:v>
                </c:pt>
                <c:pt idx="150">
                  <c:v>2.1170000000000018</c:v>
                </c:pt>
                <c:pt idx="151">
                  <c:v>2.1316000000000015</c:v>
                </c:pt>
                <c:pt idx="152">
                  <c:v>2.1462000000000017</c:v>
                </c:pt>
                <c:pt idx="153">
                  <c:v>2.1608000000000018</c:v>
                </c:pt>
                <c:pt idx="154">
                  <c:v>2.1754000000000016</c:v>
                </c:pt>
                <c:pt idx="155">
                  <c:v>2.1900000000000017</c:v>
                </c:pt>
                <c:pt idx="156">
                  <c:v>2.2046000000000014</c:v>
                </c:pt>
                <c:pt idx="157">
                  <c:v>2.2192000000000016</c:v>
                </c:pt>
                <c:pt idx="158">
                  <c:v>2.2338000000000018</c:v>
                </c:pt>
                <c:pt idx="159">
                  <c:v>2.2484000000000015</c:v>
                </c:pt>
                <c:pt idx="160">
                  <c:v>2.2630000000000017</c:v>
                </c:pt>
                <c:pt idx="161">
                  <c:v>2.2776000000000018</c:v>
                </c:pt>
                <c:pt idx="162">
                  <c:v>2.2922000000000016</c:v>
                </c:pt>
                <c:pt idx="163">
                  <c:v>2.3068000000000017</c:v>
                </c:pt>
                <c:pt idx="164">
                  <c:v>2.3214000000000015</c:v>
                </c:pt>
                <c:pt idx="165">
                  <c:v>2.3360000000000016</c:v>
                </c:pt>
                <c:pt idx="166">
                  <c:v>2.3506000000000018</c:v>
                </c:pt>
                <c:pt idx="167">
                  <c:v>2.3652000000000015</c:v>
                </c:pt>
                <c:pt idx="168">
                  <c:v>2.3798000000000017</c:v>
                </c:pt>
                <c:pt idx="169">
                  <c:v>2.3944000000000019</c:v>
                </c:pt>
                <c:pt idx="170">
                  <c:v>2.4090000000000016</c:v>
                </c:pt>
                <c:pt idx="171">
                  <c:v>2.4236000000000018</c:v>
                </c:pt>
                <c:pt idx="172">
                  <c:v>2.4382000000000015</c:v>
                </c:pt>
                <c:pt idx="173">
                  <c:v>2.4528000000000016</c:v>
                </c:pt>
                <c:pt idx="174">
                  <c:v>2.4674000000000018</c:v>
                </c:pt>
                <c:pt idx="175">
                  <c:v>2.481999999999998</c:v>
                </c:pt>
                <c:pt idx="176">
                  <c:v>2.4673999999999978</c:v>
                </c:pt>
                <c:pt idx="177">
                  <c:v>2.4527999999999976</c:v>
                </c:pt>
                <c:pt idx="178">
                  <c:v>2.4381999999999979</c:v>
                </c:pt>
                <c:pt idx="179">
                  <c:v>2.4235999999999978</c:v>
                </c:pt>
                <c:pt idx="180">
                  <c:v>2.4089999999999976</c:v>
                </c:pt>
                <c:pt idx="181">
                  <c:v>2.3943999999999979</c:v>
                </c:pt>
                <c:pt idx="182">
                  <c:v>2.3797999999999977</c:v>
                </c:pt>
                <c:pt idx="183">
                  <c:v>2.365199999999998</c:v>
                </c:pt>
                <c:pt idx="184">
                  <c:v>2.3505999999999978</c:v>
                </c:pt>
                <c:pt idx="185">
                  <c:v>2.3359999999999976</c:v>
                </c:pt>
                <c:pt idx="186">
                  <c:v>2.3213999999999979</c:v>
                </c:pt>
                <c:pt idx="187">
                  <c:v>2.3067999999999977</c:v>
                </c:pt>
                <c:pt idx="188">
                  <c:v>2.2921999999999976</c:v>
                </c:pt>
                <c:pt idx="189">
                  <c:v>2.2775999999999978</c:v>
                </c:pt>
                <c:pt idx="190">
                  <c:v>2.2629999999999977</c:v>
                </c:pt>
                <c:pt idx="191">
                  <c:v>2.248399999999998</c:v>
                </c:pt>
                <c:pt idx="192">
                  <c:v>2.2337999999999978</c:v>
                </c:pt>
                <c:pt idx="193">
                  <c:v>2.2191999999999976</c:v>
                </c:pt>
                <c:pt idx="194">
                  <c:v>2.2045999999999979</c:v>
                </c:pt>
                <c:pt idx="195">
                  <c:v>2.1899999999999977</c:v>
                </c:pt>
                <c:pt idx="196">
                  <c:v>2.1753999999999976</c:v>
                </c:pt>
                <c:pt idx="197">
                  <c:v>2.1607999999999978</c:v>
                </c:pt>
                <c:pt idx="198">
                  <c:v>2.1461999999999977</c:v>
                </c:pt>
                <c:pt idx="199">
                  <c:v>2.1315999999999979</c:v>
                </c:pt>
                <c:pt idx="200">
                  <c:v>2.1170000000000115</c:v>
                </c:pt>
                <c:pt idx="201">
                  <c:v>2.1929200000000098</c:v>
                </c:pt>
                <c:pt idx="202">
                  <c:v>2.268840000000008</c:v>
                </c:pt>
                <c:pt idx="203">
                  <c:v>2.3447600000000062</c:v>
                </c:pt>
                <c:pt idx="204">
                  <c:v>2.4206800000000044</c:v>
                </c:pt>
                <c:pt idx="205">
                  <c:v>2.4966000000000026</c:v>
                </c:pt>
                <c:pt idx="206">
                  <c:v>2.5725200000000008</c:v>
                </c:pt>
                <c:pt idx="207">
                  <c:v>2.648439999999999</c:v>
                </c:pt>
                <c:pt idx="208">
                  <c:v>2.7243599999999972</c:v>
                </c:pt>
                <c:pt idx="209">
                  <c:v>2.8002799999999954</c:v>
                </c:pt>
                <c:pt idx="210">
                  <c:v>2.8761999999999954</c:v>
                </c:pt>
                <c:pt idx="211">
                  <c:v>2.9521199999999936</c:v>
                </c:pt>
                <c:pt idx="212">
                  <c:v>3.0280399999999901</c:v>
                </c:pt>
                <c:pt idx="213">
                  <c:v>3.1039599999999901</c:v>
                </c:pt>
                <c:pt idx="214">
                  <c:v>3.1798799999999865</c:v>
                </c:pt>
                <c:pt idx="215">
                  <c:v>3.2557999999999865</c:v>
                </c:pt>
                <c:pt idx="216">
                  <c:v>3.3317199999999865</c:v>
                </c:pt>
                <c:pt idx="217">
                  <c:v>3.4076399999999829</c:v>
                </c:pt>
                <c:pt idx="218">
                  <c:v>3.4835599999999829</c:v>
                </c:pt>
                <c:pt idx="219">
                  <c:v>3.5594799999999793</c:v>
                </c:pt>
                <c:pt idx="220">
                  <c:v>3.6353999999999793</c:v>
                </c:pt>
                <c:pt idx="221">
                  <c:v>3.7113199999999757</c:v>
                </c:pt>
                <c:pt idx="222">
                  <c:v>3.7872399999999757</c:v>
                </c:pt>
                <c:pt idx="223">
                  <c:v>3.8631599999999722</c:v>
                </c:pt>
                <c:pt idx="224">
                  <c:v>3.9390799999999722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33216"/>
        <c:axId val="379533600"/>
      </c:scatterChart>
      <c:valAx>
        <c:axId val="379533216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79533600"/>
        <c:crosses val="autoZero"/>
        <c:crossBetween val="midCat"/>
        <c:majorUnit val="1"/>
      </c:valAx>
      <c:valAx>
        <c:axId val="3795336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379533216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sp macro="" textlink="">
      <xdr:nvSpPr>
        <xdr:cNvPr id="1079" name="CommandButton1" hidden="1">
          <a:extLst>
            <a:ext uri="{63B3BB69-23CF-44E3-9099-C40C66FF867C}">
              <a14:compatExt xmlns:a14="http://schemas.microsoft.com/office/drawing/2010/main" spid="_x0000_s1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pic>
      <xdr:nvPicPr>
        <xdr:cNvPr id="4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5540" y="525780"/>
          <a:ext cx="6446520" cy="6781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sp macro="" textlink="">
      <xdr:nvSpPr>
        <xdr:cNvPr id="2050" name="CommandButtonConfig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pic>
      <xdr:nvPicPr>
        <xdr:cNvPr id="3" name="CommandButtonConfi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5660" y="38100"/>
          <a:ext cx="17907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6" zoomScaleNormal="89" zoomScaleSheetLayoutView="86" workbookViewId="0">
      <pane ySplit="7" topLeftCell="A34" activePane="bottomLeft" state="frozen"/>
      <selection activeCell="B148" sqref="B148"/>
      <selection pane="bottomLeft" activeCell="B46" sqref="B46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186" t="s">
        <v>496</v>
      </c>
      <c r="B1" s="187"/>
      <c r="C1" s="187"/>
      <c r="D1" s="187"/>
      <c r="E1" s="187"/>
      <c r="F1" s="187"/>
      <c r="G1" s="187"/>
      <c r="H1" s="187"/>
      <c r="I1" s="187"/>
      <c r="J1" s="187"/>
      <c r="K1" s="188"/>
    </row>
    <row r="2" spans="1:12" ht="18" x14ac:dyDescent="0.3">
      <c r="A2" s="57" t="s">
        <v>2</v>
      </c>
      <c r="B2" s="197" t="s">
        <v>685</v>
      </c>
      <c r="C2" s="197"/>
      <c r="D2" s="197"/>
      <c r="E2" s="189" t="s">
        <v>491</v>
      </c>
      <c r="F2" s="189"/>
      <c r="G2" s="192"/>
      <c r="H2" s="192"/>
      <c r="I2" s="192"/>
      <c r="J2" s="192"/>
      <c r="K2" s="193"/>
      <c r="L2" s="58"/>
    </row>
    <row r="3" spans="1:12" x14ac:dyDescent="0.3">
      <c r="A3" s="59" t="s">
        <v>3</v>
      </c>
      <c r="B3" s="196">
        <v>42229</v>
      </c>
      <c r="C3" s="196"/>
      <c r="D3" s="196"/>
      <c r="E3" s="190" t="s">
        <v>492</v>
      </c>
      <c r="F3" s="190"/>
      <c r="G3" s="194"/>
      <c r="H3" s="194"/>
      <c r="I3" s="194"/>
      <c r="J3" s="194"/>
      <c r="K3" s="195"/>
    </row>
    <row r="4" spans="1:12" x14ac:dyDescent="0.3">
      <c r="A4" s="60" t="s">
        <v>4</v>
      </c>
      <c r="B4" s="198" t="s">
        <v>56</v>
      </c>
      <c r="C4" s="198"/>
      <c r="D4" s="198"/>
      <c r="E4" s="19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191"/>
      <c r="G4" s="194"/>
      <c r="H4" s="194"/>
      <c r="I4" s="194"/>
      <c r="J4" s="194"/>
      <c r="K4" s="195"/>
    </row>
    <row r="5" spans="1:12" x14ac:dyDescent="0.3">
      <c r="A5" s="60" t="s">
        <v>495</v>
      </c>
      <c r="B5" s="199" t="s">
        <v>694</v>
      </c>
      <c r="C5" s="199"/>
      <c r="D5" s="199"/>
      <c r="E5" s="191"/>
      <c r="F5" s="191"/>
      <c r="G5" s="194"/>
      <c r="H5" s="194"/>
      <c r="I5" s="194"/>
      <c r="J5" s="194"/>
      <c r="K5" s="195"/>
    </row>
    <row r="6" spans="1:12" ht="15" thickBot="1" x14ac:dyDescent="0.35">
      <c r="A6" s="182" t="s">
        <v>686</v>
      </c>
      <c r="B6" s="200"/>
      <c r="C6" s="201"/>
      <c r="D6" s="201"/>
      <c r="E6" s="201"/>
      <c r="F6" s="201"/>
      <c r="G6" s="201"/>
      <c r="H6" s="201"/>
      <c r="I6" s="201"/>
      <c r="J6" s="201"/>
      <c r="K6" s="20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" t="s">
        <v>497</v>
      </c>
      <c r="B8" s="184"/>
      <c r="C8" s="184"/>
      <c r="D8" s="184"/>
      <c r="E8" s="184"/>
      <c r="F8" s="184"/>
      <c r="G8" s="184"/>
      <c r="H8" s="184"/>
      <c r="I8" s="184"/>
      <c r="J8" s="184"/>
      <c r="K8" s="185"/>
    </row>
    <row r="9" spans="1:12" s="62" customFormat="1" x14ac:dyDescent="0.3">
      <c r="A9" s="209" t="s">
        <v>228</v>
      </c>
      <c r="B9" s="210"/>
      <c r="C9" s="210"/>
      <c r="D9" s="210"/>
      <c r="E9" s="210"/>
      <c r="F9" s="210"/>
      <c r="G9" s="210"/>
      <c r="H9" s="210"/>
      <c r="I9" s="210"/>
      <c r="J9" s="210"/>
      <c r="K9" s="211"/>
    </row>
    <row r="10" spans="1:12" ht="30" customHeight="1" x14ac:dyDescent="0.3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0.66666666666666663</v>
      </c>
      <c r="C11" s="65" t="s">
        <v>63</v>
      </c>
      <c r="D11" s="66" t="s">
        <v>115</v>
      </c>
      <c r="E11" s="65" t="str">
        <f>HLOOKUP(B11,constants!B2:N4,3,FALSE)</f>
        <v>0x02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solar cell is usually close to 80%</v>
      </c>
      <c r="G11" s="67"/>
      <c r="H11" s="128"/>
      <c r="I11" s="76"/>
      <c r="J11" s="76"/>
      <c r="K11" s="173"/>
    </row>
    <row r="12" spans="1:12" ht="15" thickBot="1" x14ac:dyDescent="0.35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4"/>
    </row>
    <row r="13" spans="1:12" s="62" customFormat="1" x14ac:dyDescent="0.3">
      <c r="A13" s="209" t="s">
        <v>229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1"/>
    </row>
    <row r="14" spans="1:12" ht="30" customHeight="1" x14ac:dyDescent="0.3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209" t="s">
        <v>239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1" ht="30" customHeight="1" x14ac:dyDescent="0.3">
      <c r="A17" s="59" t="str">
        <f>IF(B14=constants!C8,"Unused","HRV resistivity (Rteg)")</f>
        <v>Unused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209" t="s">
        <v>240</v>
      </c>
      <c r="B20" s="210"/>
      <c r="C20" s="210"/>
      <c r="D20" s="210"/>
      <c r="E20" s="210"/>
      <c r="F20" s="210"/>
      <c r="G20" s="210"/>
      <c r="H20" s="210"/>
      <c r="I20" s="210"/>
      <c r="J20" s="210"/>
      <c r="K20" s="211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12"/>
      <c r="B26" s="213"/>
      <c r="C26" s="213"/>
      <c r="D26" s="213"/>
      <c r="E26" s="213"/>
      <c r="F26" s="213"/>
      <c r="G26" s="213"/>
      <c r="H26" s="213"/>
      <c r="I26" s="213"/>
      <c r="J26" s="213"/>
      <c r="K26" s="214"/>
    </row>
    <row r="27" spans="1:11" s="62" customFormat="1" x14ac:dyDescent="0.3">
      <c r="A27" s="209" t="s">
        <v>241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1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358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512</v>
      </c>
      <c r="C30" s="80" t="s">
        <v>39</v>
      </c>
      <c r="D30" s="75" t="s">
        <v>127</v>
      </c>
      <c r="E30" s="74" t="str">
        <f>VLOOKUP(B30,constants!B51:D58,3,FALSE)</f>
        <v>0x05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512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3.4" collapsed="1" thickBot="1" x14ac:dyDescent="0.35">
      <c r="A34" s="206" t="s">
        <v>498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8"/>
    </row>
    <row r="35" spans="1:11" s="62" customFormat="1" x14ac:dyDescent="0.3">
      <c r="A35" s="209" t="s">
        <v>230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1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203"/>
      <c r="B39" s="204"/>
      <c r="C39" s="204"/>
      <c r="D39" s="204"/>
      <c r="E39" s="204"/>
      <c r="F39" s="204"/>
      <c r="G39" s="204"/>
      <c r="H39" s="204"/>
      <c r="I39" s="204"/>
      <c r="J39" s="204"/>
      <c r="K39" s="205"/>
    </row>
    <row r="40" spans="1:11" s="62" customFormat="1" x14ac:dyDescent="0.3">
      <c r="A40" s="209" t="s">
        <v>231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1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2.8</v>
      </c>
      <c r="C42" s="80" t="s">
        <v>0</v>
      </c>
      <c r="D42" s="75" t="s">
        <v>29</v>
      </c>
      <c r="E42" s="74" t="str">
        <f>IF(H42&gt;9,"0x"&amp;DEC2HEX(H42),"0x0"&amp;DEC2HEX(H42))</f>
        <v>0x24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" thickBot="1" x14ac:dyDescent="0.35">
      <c r="A44" s="203"/>
      <c r="B44" s="204"/>
      <c r="C44" s="204"/>
      <c r="D44" s="204"/>
      <c r="E44" s="204"/>
      <c r="F44" s="204"/>
      <c r="G44" s="204"/>
      <c r="H44" s="204"/>
      <c r="I44" s="204"/>
      <c r="J44" s="204"/>
      <c r="K44" s="205"/>
    </row>
    <row r="45" spans="1:11" s="62" customFormat="1" x14ac:dyDescent="0.3">
      <c r="A45" s="209" t="s">
        <v>232</v>
      </c>
      <c r="B45" s="210"/>
      <c r="C45" s="210"/>
      <c r="D45" s="210"/>
      <c r="E45" s="210"/>
      <c r="F45" s="210"/>
      <c r="G45" s="210"/>
      <c r="H45" s="210"/>
      <c r="I45" s="210"/>
      <c r="J45" s="210"/>
      <c r="K45" s="211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203"/>
      <c r="B57" s="204"/>
      <c r="C57" s="204"/>
      <c r="D57" s="204"/>
      <c r="E57" s="204"/>
      <c r="F57" s="204"/>
      <c r="G57" s="204"/>
      <c r="H57" s="204"/>
      <c r="I57" s="204"/>
      <c r="J57" s="204"/>
      <c r="K57" s="205"/>
    </row>
    <row r="58" spans="1:11" s="62" customFormat="1" x14ac:dyDescent="0.3">
      <c r="A58" s="209" t="s">
        <v>233</v>
      </c>
      <c r="B58" s="210"/>
      <c r="C58" s="210"/>
      <c r="D58" s="210"/>
      <c r="E58" s="210"/>
      <c r="F58" s="210"/>
      <c r="G58" s="210"/>
      <c r="H58" s="210"/>
      <c r="I58" s="210"/>
      <c r="J58" s="210"/>
      <c r="K58" s="211"/>
    </row>
    <row r="59" spans="1:11" x14ac:dyDescent="0.3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203"/>
      <c r="B63" s="204"/>
      <c r="C63" s="204"/>
      <c r="D63" s="204"/>
      <c r="E63" s="204"/>
      <c r="F63" s="204"/>
      <c r="G63" s="204"/>
      <c r="H63" s="204"/>
      <c r="I63" s="204"/>
      <c r="J63" s="204"/>
      <c r="K63" s="205"/>
    </row>
    <row r="64" spans="1:11" s="62" customFormat="1" x14ac:dyDescent="0.3">
      <c r="A64" s="209" t="s">
        <v>234</v>
      </c>
      <c r="B64" s="210"/>
      <c r="C64" s="210"/>
      <c r="D64" s="210"/>
      <c r="E64" s="210"/>
      <c r="F64" s="210"/>
      <c r="G64" s="210"/>
      <c r="H64" s="210"/>
      <c r="I64" s="210"/>
      <c r="J64" s="210"/>
      <c r="K64" s="211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" thickBot="1" x14ac:dyDescent="0.35">
      <c r="A68" s="203"/>
      <c r="B68" s="204"/>
      <c r="C68" s="204"/>
      <c r="D68" s="204"/>
      <c r="E68" s="204"/>
      <c r="F68" s="204"/>
      <c r="G68" s="204"/>
      <c r="H68" s="204"/>
      <c r="I68" s="204"/>
      <c r="J68" s="204"/>
      <c r="K68" s="205"/>
    </row>
    <row r="69" spans="1:11" s="62" customFormat="1" x14ac:dyDescent="0.3">
      <c r="A69" s="209" t="s">
        <v>235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1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2.603075104563831</v>
      </c>
      <c r="C73" s="82" t="s">
        <v>0</v>
      </c>
      <c r="D73" s="78" t="s">
        <v>186</v>
      </c>
      <c r="E73" s="76" t="str">
        <f>IF(H73&gt;15,"0x"&amp;DEC2HEX(H73),"0x0"&amp;DEC2HEX(H73))</f>
        <v>0x21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33</v>
      </c>
      <c r="I73" s="76">
        <v>1</v>
      </c>
      <c r="J73" s="76"/>
      <c r="K73" s="173"/>
    </row>
    <row r="74" spans="1:11" ht="15" thickBot="1" x14ac:dyDescent="0.35">
      <c r="A74" s="203"/>
      <c r="B74" s="204"/>
      <c r="C74" s="204"/>
      <c r="D74" s="204"/>
      <c r="E74" s="204"/>
      <c r="F74" s="204"/>
      <c r="G74" s="204"/>
      <c r="H74" s="204"/>
      <c r="I74" s="204"/>
      <c r="J74" s="204"/>
      <c r="K74" s="205"/>
    </row>
    <row r="75" spans="1:11" s="62" customFormat="1" x14ac:dyDescent="0.3">
      <c r="A75" s="209" t="s">
        <v>236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1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203"/>
      <c r="B77" s="204"/>
      <c r="C77" s="204"/>
      <c r="D77" s="204"/>
      <c r="E77" s="204"/>
      <c r="F77" s="204"/>
      <c r="G77" s="204"/>
      <c r="H77" s="204"/>
      <c r="I77" s="204"/>
      <c r="J77" s="204"/>
      <c r="K77" s="205"/>
    </row>
    <row r="78" spans="1:11" s="62" customFormat="1" x14ac:dyDescent="0.3">
      <c r="A78" s="209" t="s">
        <v>237</v>
      </c>
      <c r="B78" s="210"/>
      <c r="C78" s="210"/>
      <c r="D78" s="210"/>
      <c r="E78" s="210"/>
      <c r="F78" s="210"/>
      <c r="G78" s="210"/>
      <c r="H78" s="210"/>
      <c r="I78" s="210"/>
      <c r="J78" s="210"/>
      <c r="K78" s="211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" t="s">
        <v>499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5"/>
    </row>
    <row r="82" spans="1:11" s="62" customFormat="1" x14ac:dyDescent="0.3">
      <c r="A82" s="209" t="s">
        <v>238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1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221" t="s">
        <v>198</v>
      </c>
      <c r="B86" s="106">
        <v>0</v>
      </c>
      <c r="C86" s="74" t="s">
        <v>201</v>
      </c>
      <c r="D86" s="74"/>
      <c r="E86" s="74"/>
      <c r="F86" s="222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221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222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221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222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221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222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209" t="s">
        <v>242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1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209" t="s">
        <v>270</v>
      </c>
      <c r="B108" s="210"/>
      <c r="C108" s="210"/>
      <c r="D108" s="210"/>
      <c r="E108" s="210"/>
      <c r="F108" s="210"/>
      <c r="G108" s="210"/>
      <c r="H108" s="210"/>
      <c r="I108" s="210"/>
      <c r="J108" s="210"/>
      <c r="K108" s="211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218" t="s">
        <v>493</v>
      </c>
      <c r="B118" s="219"/>
      <c r="C118" s="219"/>
      <c r="D118" s="219"/>
      <c r="E118" s="219"/>
      <c r="F118" s="219"/>
      <c r="G118" s="219"/>
      <c r="H118" s="219"/>
      <c r="I118" s="219"/>
      <c r="J118" s="219"/>
      <c r="K118" s="220"/>
    </row>
    <row r="119" spans="1:11" s="62" customFormat="1" x14ac:dyDescent="0.3">
      <c r="A119" s="209" t="s">
        <v>445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1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215" t="s">
        <v>459</v>
      </c>
      <c r="B124" s="216"/>
      <c r="C124" s="216"/>
      <c r="D124" s="216"/>
      <c r="E124" s="216"/>
      <c r="F124" s="216"/>
      <c r="G124" s="216"/>
      <c r="H124" s="216"/>
      <c r="I124" s="216"/>
      <c r="J124" s="216"/>
      <c r="K124" s="217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" t="s">
        <v>494</v>
      </c>
      <c r="B128" s="184"/>
      <c r="C128" s="184"/>
      <c r="D128" s="184"/>
      <c r="E128" s="184"/>
      <c r="F128" s="184"/>
      <c r="G128" s="184"/>
      <c r="H128" s="184"/>
      <c r="I128" s="184"/>
      <c r="J128" s="184"/>
      <c r="K128" s="185"/>
    </row>
    <row r="129" spans="1:11" s="62" customFormat="1" x14ac:dyDescent="0.3">
      <c r="A129" s="209" t="s">
        <v>485</v>
      </c>
      <c r="B129" s="210"/>
      <c r="C129" s="210"/>
      <c r="D129" s="210"/>
      <c r="E129" s="210"/>
      <c r="F129" s="210"/>
      <c r="G129" s="210"/>
      <c r="H129" s="210"/>
      <c r="I129" s="210"/>
      <c r="J129" s="210"/>
      <c r="K129" s="211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  <mergeCell ref="A129:K129"/>
    <mergeCell ref="A124:K124"/>
    <mergeCell ref="A119:K119"/>
    <mergeCell ref="A108:K108"/>
    <mergeCell ref="A118:K118"/>
    <mergeCell ref="A128:K128"/>
    <mergeCell ref="A27:K27"/>
    <mergeCell ref="A20:K20"/>
    <mergeCell ref="A16:K16"/>
    <mergeCell ref="A13:K13"/>
    <mergeCell ref="A9:K9"/>
    <mergeCell ref="A12:K12"/>
    <mergeCell ref="A26:K2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zoomScale="115" zoomScaleNormal="130" zoomScaleSheetLayoutView="115" workbookViewId="0">
      <pane ySplit="2" topLeftCell="A6" activePane="bottomLeft" state="frozen"/>
      <selection activeCell="B148" sqref="B148"/>
      <selection pane="bottomLeft" activeCell="F10" sqref="F10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47" t="s">
        <v>431</v>
      </c>
      <c r="B1" s="248"/>
      <c r="C1" s="248"/>
      <c r="D1" s="248"/>
      <c r="E1" s="248"/>
      <c r="F1" s="248"/>
      <c r="G1" s="248"/>
      <c r="H1" s="169"/>
      <c r="I1" s="25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5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49" t="s">
        <v>668</v>
      </c>
      <c r="J2" s="249"/>
      <c r="K2" s="25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41" t="str">
        <f>VLOOKUP(VALUE(MID(H3,6,3)),constants!A51:C58,3,FALSE)&amp;" ms"</f>
        <v>8192 ms</v>
      </c>
      <c r="J3" s="241"/>
      <c r="K3" s="242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0x05</v>
      </c>
      <c r="E4" s="168"/>
      <c r="F4" s="159"/>
      <c r="G4" s="146" t="str">
        <f t="shared" si="0"/>
        <v>0x05</v>
      </c>
      <c r="H4" s="150" t="str">
        <f t="shared" ref="H4:H28" si="1">TEXT(HEX2BIN(MID(G4,3,2)),"00000000")</f>
        <v>00000101</v>
      </c>
      <c r="I4" s="241" t="str">
        <f>VLOOKUP(VALUE(MID(H4,6,3)),constants!A51:B58,2,FALSE)&amp;" ms"</f>
        <v>512 ms</v>
      </c>
      <c r="J4" s="241"/>
      <c r="K4" s="242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41" t="str">
        <f>VLOOKUP(BIN2DEC(MID(H5,6,3)),constants!A78:B85,2,FALSE)&amp;" ms"</f>
        <v>16 ms</v>
      </c>
      <c r="J5" s="241"/>
      <c r="K5" s="242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41" t="str">
        <f>VLOOKUP(BIN2DEC(MID(H6,6,3)),constants!A88:B95,2,FALSE)&amp;" ms"</f>
        <v>16384 ms</v>
      </c>
      <c r="J6" s="241"/>
      <c r="K6" s="242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31" t="str">
        <f>"v_hrv_min: "&amp;TEXT((BIN2DEC(MID(H7,3,6))+1)*constants!C64,"0.000")&amp;" V (TYP)"</f>
        <v>v_hrv_min: 0.146 V (TYP)</v>
      </c>
      <c r="K7" s="232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31" t="str">
        <f>(BIN2DEC(MID(H8,5,4))+1)&amp;" µA"</f>
        <v>14 µA</v>
      </c>
      <c r="J8" s="231"/>
      <c r="K8" s="232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43" t="str">
        <f>IF(MID(H9,7,1)="0",constants!C190,IF(MID(H9,6,1)="0",constants!C191&amp;" &amp; "&amp;constants!B190,constants!C191&amp;" &amp; "&amp;constants!B191))</f>
        <v>rechargeable battery</v>
      </c>
      <c r="J9" s="244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39</v>
      </c>
      <c r="G10" s="146" t="str">
        <f t="shared" si="0"/>
        <v>0x39</v>
      </c>
      <c r="H10" s="150" t="str">
        <f t="shared" si="1"/>
        <v>00111001</v>
      </c>
      <c r="I10" s="231" t="str">
        <f>TEXT((BIN2DEC(MID(H10,3,6))+1)*constants!$C$64,"0.000")&amp;" V (TYP)"</f>
        <v>4.234 V (TYP)</v>
      </c>
      <c r="J10" s="231"/>
      <c r="K10" s="232"/>
      <c r="L10" s="145">
        <f t="shared" ref="L10:L16" si="2">BIN2DEC(H10)</f>
        <v>57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38</v>
      </c>
      <c r="G11" s="146" t="str">
        <f t="shared" si="0"/>
        <v>0x38</v>
      </c>
      <c r="H11" s="150" t="str">
        <f t="shared" si="1"/>
        <v>00111000</v>
      </c>
      <c r="I11" s="231" t="str">
        <f>TEXT((BIN2DEC(MID(H11,3,6))+1)*constants!$C$64,"0.000")&amp;" V (TYP)"</f>
        <v>4.161 V (TYP)</v>
      </c>
      <c r="J11" s="231"/>
      <c r="K11" s="232"/>
      <c r="L11" s="145">
        <f t="shared" si="2"/>
        <v>56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>
        <v>28</v>
      </c>
      <c r="G12" s="146" t="str">
        <f t="shared" si="0"/>
        <v>0x28</v>
      </c>
      <c r="H12" s="150" t="str">
        <f t="shared" si="1"/>
        <v>00101000</v>
      </c>
      <c r="I12" s="231" t="str">
        <f>TEXT((BIN2DEC(MID(H12,3,6))+1)*constants!$C$64,"0.000")&amp;" V (TYP)"</f>
        <v>2.993 V (TYP)</v>
      </c>
      <c r="J12" s="231"/>
      <c r="K12" s="232"/>
      <c r="L12" s="145">
        <f t="shared" si="2"/>
        <v>40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 t="s">
        <v>698</v>
      </c>
      <c r="G13" s="146" t="str">
        <f t="shared" si="0"/>
        <v>0x1c</v>
      </c>
      <c r="H13" s="150" t="str">
        <f t="shared" si="1"/>
        <v>00011100</v>
      </c>
      <c r="I13" s="231" t="str">
        <f>TEXT((BIN2DEC(MID(H13,3,6))+1)*constants!$C$64,"0.000")&amp;" V (TYP)"</f>
        <v>2.117 V (TYP)</v>
      </c>
      <c r="J13" s="231"/>
      <c r="K13" s="232"/>
      <c r="L13" s="145">
        <f t="shared" si="2"/>
        <v>28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>
        <v>18</v>
      </c>
      <c r="G14" s="146" t="str">
        <f t="shared" si="0"/>
        <v>0x18</v>
      </c>
      <c r="H14" s="150" t="str">
        <f t="shared" si="1"/>
        <v>00011000</v>
      </c>
      <c r="I14" s="231" t="str">
        <f>TEXT((BIN2DEC(MID(H14,3,6))+1)*constants!$C$64,"0.000")&amp;" V (TYP)"</f>
        <v>1.825 V (TYP)</v>
      </c>
      <c r="J14" s="231"/>
      <c r="K14" s="232"/>
      <c r="L14" s="145">
        <f t="shared" si="2"/>
        <v>24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0x24</v>
      </c>
      <c r="E15" s="168"/>
      <c r="F15" s="159" t="s">
        <v>696</v>
      </c>
      <c r="G15" s="146" t="str">
        <f t="shared" si="0"/>
        <v>0x2d</v>
      </c>
      <c r="H15" s="150" t="str">
        <f t="shared" si="1"/>
        <v>00101101</v>
      </c>
      <c r="I15" s="231" t="str">
        <f>TEXT((BIN2DEC(MID(H15,3,6))+1)*constants!$C$64,"0.000")&amp;" V (TYP)"</f>
        <v>3.358 V (TYP)</v>
      </c>
      <c r="J15" s="231"/>
      <c r="K15" s="232"/>
      <c r="L15" s="145">
        <f t="shared" si="2"/>
        <v>45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0x21</v>
      </c>
      <c r="E16" s="168"/>
      <c r="F16" s="159" t="s">
        <v>697</v>
      </c>
      <c r="G16" s="146" t="str">
        <f t="shared" si="0"/>
        <v>0x2c</v>
      </c>
      <c r="H16" s="150" t="str">
        <f t="shared" si="1"/>
        <v>00101100</v>
      </c>
      <c r="I16" s="231" t="str">
        <f>TEXT((BIN2DEC(MID(H16,3,6))+1)*constants!$C$64,"0.000")&amp;" V (TYP)"</f>
        <v>3.285 V (TYP)</v>
      </c>
      <c r="J16" s="231"/>
      <c r="K16" s="232"/>
      <c r="L16" s="145">
        <f t="shared" si="2"/>
        <v>44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695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31" t="str">
        <f>"ULP LDO: "&amp;VLOOKUP(VALUE(MID($H$17,6,3)),constants!$A$114:$B$121,2,FALSE)&amp;" V"</f>
        <v>ULP LDO: 2.2 V</v>
      </c>
      <c r="K17" s="232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45"/>
      <c r="J18" s="245"/>
      <c r="K18" s="246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45"/>
      <c r="J19" s="245"/>
      <c r="K19" s="246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45"/>
      <c r="J20" s="245"/>
      <c r="K20" s="246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0x02</v>
      </c>
      <c r="E21" s="168"/>
      <c r="F21" s="159">
        <v>1</v>
      </c>
      <c r="G21" s="146" t="str">
        <f t="shared" si="0"/>
        <v>0x01</v>
      </c>
      <c r="H21" s="150" t="str">
        <f t="shared" si="1"/>
        <v>00000001</v>
      </c>
      <c r="I21" s="239" t="str">
        <f>TEXT(HLOOKUP(VALUE(MID(H21,5,4)),constants!B5:Q6,2,FALSE),"0%")</f>
        <v>60%</v>
      </c>
      <c r="J21" s="239"/>
      <c r="K21" s="240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31" t="str">
        <f>VLOOKUP(MID($H22,N$67+2,2),constants!A172:B175,2,FALSE)</f>
        <v>USB crt source 5 mA</v>
      </c>
      <c r="J22" s="231"/>
      <c r="K22" s="232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37" t="s">
        <v>629</v>
      </c>
      <c r="J23" s="237"/>
      <c r="K23" s="238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35" t="s">
        <v>669</v>
      </c>
      <c r="J24" s="235"/>
      <c r="K24" s="236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3" t="str">
        <f>L25&amp;":"&amp;M25&amp;":"&amp;N25&amp;":"&amp;O25</f>
        <v>0:1:1:0</v>
      </c>
      <c r="J25" s="233"/>
      <c r="K25" s="234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31" t="str">
        <f>"t_lts_hrv_low_period: "&amp;VLOOKUP(BIN2DEC(MID(H26,6,3)),constants!A98:B105,2,FALSE)&amp;" ms"</f>
        <v>t_lts_hrv_low_period: 32768 ms</v>
      </c>
      <c r="K26" s="232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31" t="str">
        <f>"I2C address: "&amp;BIN2HEX(MID(H27,2,7))</f>
        <v>I2C address: 77</v>
      </c>
      <c r="J27" s="231"/>
      <c r="K27" s="232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29"/>
      <c r="J28" s="229"/>
      <c r="K28" s="230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29"/>
      <c r="J29" s="229"/>
      <c r="K29" s="230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29"/>
      <c r="J30" s="229"/>
      <c r="K30" s="230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29"/>
      <c r="J31" s="229"/>
      <c r="K31" s="230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29"/>
      <c r="J32" s="229"/>
      <c r="K32" s="230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29"/>
      <c r="J33" s="229"/>
      <c r="K33" s="230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29"/>
      <c r="J34" s="229"/>
      <c r="K34" s="230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29"/>
      <c r="J35" s="229"/>
      <c r="K35" s="230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29"/>
      <c r="J36" s="229"/>
      <c r="K36" s="230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29"/>
      <c r="J37" s="229"/>
      <c r="K37" s="230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29"/>
      <c r="J38" s="229"/>
      <c r="K38" s="230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29"/>
      <c r="J39" s="229"/>
      <c r="K39" s="230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29"/>
      <c r="J40" s="229"/>
      <c r="K40" s="230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29"/>
      <c r="J41" s="229"/>
      <c r="K41" s="230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29"/>
      <c r="J42" s="229"/>
      <c r="K42" s="230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29"/>
      <c r="J43" s="229"/>
      <c r="K43" s="230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29"/>
      <c r="J44" s="229"/>
      <c r="K44" s="230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29"/>
      <c r="J45" s="229"/>
      <c r="K45" s="230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29"/>
      <c r="J46" s="229"/>
      <c r="K46" s="230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29"/>
      <c r="J47" s="229"/>
      <c r="K47" s="230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29"/>
      <c r="J48" s="229"/>
      <c r="K48" s="230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29"/>
      <c r="J49" s="229"/>
      <c r="K49" s="230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29"/>
      <c r="J50" s="229"/>
      <c r="K50" s="230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29"/>
      <c r="J51" s="229"/>
      <c r="K51" s="230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29"/>
      <c r="J52" s="229"/>
      <c r="K52" s="230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29"/>
      <c r="J53" s="229"/>
      <c r="K53" s="230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29"/>
      <c r="J54" s="229"/>
      <c r="K54" s="230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29"/>
      <c r="J55" s="229"/>
      <c r="K55" s="230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23"/>
      <c r="J56" s="224"/>
      <c r="K56" s="225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23"/>
      <c r="J57" s="224"/>
      <c r="K57" s="225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23"/>
      <c r="J58" s="224"/>
      <c r="K58" s="225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23"/>
      <c r="J59" s="224"/>
      <c r="K59" s="225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23"/>
      <c r="J60" s="224"/>
      <c r="K60" s="225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23"/>
      <c r="J61" s="224"/>
      <c r="K61" s="225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23"/>
      <c r="J62" s="224"/>
      <c r="K62" s="225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23"/>
      <c r="J63" s="224"/>
      <c r="K63" s="225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23"/>
      <c r="J64" s="224"/>
      <c r="K64" s="225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23"/>
      <c r="J65" s="224"/>
      <c r="K65" s="225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26"/>
      <c r="J66" s="227"/>
      <c r="K66" s="228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:K5"/>
    <mergeCell ref="I4:K4"/>
    <mergeCell ref="I10:K10"/>
    <mergeCell ref="I8:K8"/>
    <mergeCell ref="A1:G1"/>
    <mergeCell ref="I2:K2"/>
    <mergeCell ref="I3:K3"/>
    <mergeCell ref="I1:J1"/>
    <mergeCell ref="I14:K14"/>
    <mergeCell ref="I13:K13"/>
    <mergeCell ref="I15:K15"/>
    <mergeCell ref="I16:K16"/>
    <mergeCell ref="I18:K20"/>
    <mergeCell ref="I12:K12"/>
    <mergeCell ref="I11:K11"/>
    <mergeCell ref="J7:K7"/>
    <mergeCell ref="I6:K6"/>
    <mergeCell ref="I9:J9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52:K52"/>
    <mergeCell ref="I53:K53"/>
    <mergeCell ref="I54:K54"/>
    <mergeCell ref="I55:K55"/>
    <mergeCell ref="I56:K56"/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358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0x05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0x01</v>
      </c>
    </row>
    <row r="6" spans="1:2" x14ac:dyDescent="0.3">
      <c r="A6" s="3" t="str">
        <f>'register map'!B8</f>
        <v>0x45</v>
      </c>
      <c r="B6" s="3" t="str">
        <f>'register map'!G8</f>
        <v>0x0D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0x39</v>
      </c>
    </row>
    <row r="9" spans="1:2" x14ac:dyDescent="0.3">
      <c r="A9" s="3" t="str">
        <f>'register map'!B11</f>
        <v>0x48</v>
      </c>
      <c r="B9" s="3" t="str">
        <f>'register map'!G11</f>
        <v>0x38</v>
      </c>
    </row>
    <row r="10" spans="1:2" x14ac:dyDescent="0.3">
      <c r="A10" s="3" t="str">
        <f>'register map'!B12</f>
        <v>0x49</v>
      </c>
      <c r="B10" s="3" t="str">
        <f>'register map'!G12</f>
        <v>0x28</v>
      </c>
    </row>
    <row r="11" spans="1:2" x14ac:dyDescent="0.3">
      <c r="A11" s="3" t="str">
        <f>'register map'!B13</f>
        <v>0x4A</v>
      </c>
      <c r="B11" s="3" t="str">
        <f>'register map'!G13</f>
        <v>0x1c</v>
      </c>
    </row>
    <row r="12" spans="1:2" x14ac:dyDescent="0.3">
      <c r="A12" s="3" t="str">
        <f>'register map'!B14</f>
        <v>0x4B</v>
      </c>
      <c r="B12" s="3" t="str">
        <f>'register map'!G14</f>
        <v>0x18</v>
      </c>
    </row>
    <row r="13" spans="1:2" x14ac:dyDescent="0.3">
      <c r="A13" s="3" t="str">
        <f>'register map'!B15</f>
        <v>0x4C</v>
      </c>
      <c r="B13" s="3" t="str">
        <f>'register map'!G15</f>
        <v>0x2d</v>
      </c>
    </row>
    <row r="14" spans="1:2" x14ac:dyDescent="0.3">
      <c r="A14" s="3" t="str">
        <f>'register map'!B16</f>
        <v>0x4D</v>
      </c>
      <c r="B14" s="3" t="str">
        <f>'register map'!G16</f>
        <v>0x2c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0x01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0x07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2.4819999999999998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3.0294999999999996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4.7279999999999989</v>
      </c>
      <c r="I11" s="3"/>
      <c r="J11" s="10" t="s">
        <v>518</v>
      </c>
      <c r="K11" s="119">
        <f>SLOPE(K9:K10,L9:L10)</f>
        <v>0.98550000000000004</v>
      </c>
    </row>
    <row r="12" spans="1:12" x14ac:dyDescent="0.3">
      <c r="A12" s="3" t="str">
        <f>"v_apl_max_hi ("&amp;TEXT(B12,"0.00")&amp;")"</f>
        <v>v_apl_max_hi (2.70)</v>
      </c>
      <c r="B12" s="118">
        <f>IF(settings!H42&gt;settings!H41,-1,(settings!H42+1)*B9)</f>
        <v>2.7009999999999996</v>
      </c>
      <c r="C12" s="3" t="s">
        <v>519</v>
      </c>
      <c r="D12" s="50">
        <f>INTERCEPT(D9:D10,E9:E10)</f>
        <v>-3.427999999999999</v>
      </c>
      <c r="I12" s="3"/>
      <c r="J12" s="10" t="s">
        <v>519</v>
      </c>
      <c r="K12" s="119">
        <f>INTERCEPT(K9:K10,L9:L10)</f>
        <v>2.0439999999999996</v>
      </c>
    </row>
    <row r="13" spans="1:12" x14ac:dyDescent="0.3">
      <c r="A13" s="3" t="str">
        <f>"v_apl_max_lo ("&amp;TEXT(B13,"0.00")&amp;")"</f>
        <v>v_apl_max_lo (2.48)</v>
      </c>
      <c r="B13" s="118">
        <f>IF(settings!H42&gt;settings!H41,-1,(settings!H73+1)*B9)</f>
        <v>2.4819999999999998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2.4819999999999998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-1.4599999999999991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4.3069999999999986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2.4819999999999998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1.4599999999999991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-7.2999999999998622E-2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2.4819999999999998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-1.4599999999999991</v>
      </c>
      <c r="G23" s="50">
        <f>SLOPE(G21:G22,H21:H22)</f>
        <v>2.9340000000000002</v>
      </c>
      <c r="I23" s="3"/>
    </row>
    <row r="24" spans="1:12" x14ac:dyDescent="0.3">
      <c r="C24" s="3" t="s">
        <v>526</v>
      </c>
      <c r="D24" s="50">
        <f>INTERCEPT(D21:D22,E21:E22)</f>
        <v>5.0369999999999981</v>
      </c>
      <c r="G24" s="50">
        <f>INTERCEPT(G21:G22,H21:H22)</f>
        <v>-3.7510000000000008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2.117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7.5919999999999987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-13.066999999999997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2.4819999999999998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2.9154999999999993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-1.7339999999999982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4.649499999999998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2.4819999999999998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-1.4599999999999991</v>
      </c>
      <c r="I46" s="3"/>
    </row>
    <row r="47" spans="1:12" x14ac:dyDescent="0.3">
      <c r="D47" s="50"/>
      <c r="G47" s="116" t="s">
        <v>553</v>
      </c>
      <c r="H47" s="3">
        <f>INTERCEPT(G44:G45,H44:H45)</f>
        <v>4.3069999999999986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2.4819999999999998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1.4599999999999991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-7.2999999999998622E-2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2.9154999999999993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2.4819999999999998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1.7339999999999982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-0.5524999999999971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2.8304999999999993</v>
      </c>
      <c r="H61" s="3">
        <v>3</v>
      </c>
      <c r="I61" s="3"/>
    </row>
    <row r="62" spans="4:12" x14ac:dyDescent="0.3">
      <c r="D62" s="50"/>
      <c r="G62" s="116">
        <f>H176</f>
        <v>2.9304999999999994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3.1304999999999996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2.9294999999999995</v>
      </c>
      <c r="H66" s="3">
        <v>1</v>
      </c>
      <c r="I66" s="3"/>
    </row>
    <row r="67" spans="1:27" x14ac:dyDescent="0.3">
      <c r="G67" s="116">
        <f>H76</f>
        <v>3.0294999999999996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3.0294999999999996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3.0294999999999996</v>
      </c>
      <c r="G76" s="117">
        <f t="shared" ref="G76:G107" si="1">(H76-$H$74)/(1-EXP(-1/G$74))*(1-EXP(-$B76/G$74))</f>
        <v>0</v>
      </c>
      <c r="H76" s="117">
        <f>IF(B12=-1,(B11+B16)/2,(B11+B16)/2)</f>
        <v>3.0294999999999996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1.9055274245886868</v>
      </c>
      <c r="F77" s="117">
        <f>F76</f>
        <v>3.0294999999999996</v>
      </c>
      <c r="G77" s="117">
        <f t="shared" si="1"/>
        <v>1.9048953040298582</v>
      </c>
      <c r="H77" s="117">
        <f t="shared" ref="H77:H108" si="4">$H$68*B77+$H$69</f>
        <v>3.0284999999999997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2.6065317886832307</v>
      </c>
      <c r="F78" s="117">
        <f t="shared" ref="F78:F117" si="13">F77</f>
        <v>3.0294999999999996</v>
      </c>
      <c r="G78" s="117">
        <f t="shared" si="1"/>
        <v>2.6048024592497039</v>
      </c>
      <c r="H78" s="117">
        <f t="shared" si="4"/>
        <v>3.0274999999999999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2.8644168824050737</v>
      </c>
      <c r="F79" s="117">
        <f t="shared" si="13"/>
        <v>3.0294999999999996</v>
      </c>
      <c r="G79" s="117">
        <f t="shared" si="1"/>
        <v>2.8615662436101772</v>
      </c>
      <c r="H79" s="117">
        <f t="shared" si="4"/>
        <v>3.0264999999999995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2.9592875065699102</v>
      </c>
      <c r="F80" s="117">
        <f t="shared" si="13"/>
        <v>3.0294999999999996</v>
      </c>
      <c r="G80" s="117">
        <f t="shared" si="1"/>
        <v>2.9553607691254653</v>
      </c>
      <c r="H80" s="117">
        <f t="shared" si="4"/>
        <v>3.0254999999999996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2.9941884587712564</v>
      </c>
      <c r="F81" s="117">
        <f t="shared" si="13"/>
        <v>3.0294999999999996</v>
      </c>
      <c r="G81" s="117">
        <f t="shared" si="1"/>
        <v>2.989222148506252</v>
      </c>
      <c r="H81" s="117">
        <f t="shared" si="4"/>
        <v>3.0244999999999997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3.0070278015634386</v>
      </c>
      <c r="F82" s="117">
        <f t="shared" si="13"/>
        <v>3.0294999999999996</v>
      </c>
      <c r="G82" s="117">
        <f t="shared" si="1"/>
        <v>3.0010426740764986</v>
      </c>
      <c r="H82" s="117">
        <f t="shared" si="4"/>
        <v>3.0234999999999994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3.0117511318148353</v>
      </c>
      <c r="F83" s="117">
        <f t="shared" si="13"/>
        <v>3.0294999999999996</v>
      </c>
      <c r="G83" s="117">
        <f t="shared" si="1"/>
        <v>3.0047575149885941</v>
      </c>
      <c r="H83" s="117">
        <f t="shared" si="4"/>
        <v>3.0224999999999995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3.0134887479081875</v>
      </c>
      <c r="F84" s="117">
        <f t="shared" si="13"/>
        <v>3.0294999999999996</v>
      </c>
      <c r="G84" s="117">
        <f t="shared" si="1"/>
        <v>3.0054914316092107</v>
      </c>
      <c r="H84" s="117">
        <f t="shared" si="4"/>
        <v>3.0214999999999996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3.0141279811455801</v>
      </c>
      <c r="F85" s="117">
        <f t="shared" si="13"/>
        <v>3.0294999999999996</v>
      </c>
      <c r="G85" s="117">
        <f t="shared" si="1"/>
        <v>3.0051290918338172</v>
      </c>
      <c r="H85" s="117">
        <f t="shared" si="4"/>
        <v>3.0204999999999997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3.0143631419117303</v>
      </c>
      <c r="F86" s="117">
        <f t="shared" si="13"/>
        <v>3.0294999999999996</v>
      </c>
      <c r="G86" s="117">
        <f t="shared" si="1"/>
        <v>3.0043635959110282</v>
      </c>
      <c r="H86" s="117">
        <f t="shared" si="4"/>
        <v>3.0194999999999999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3.0144496527229672</v>
      </c>
      <c r="F87" s="117">
        <f t="shared" si="13"/>
        <v>3.0294999999999996</v>
      </c>
      <c r="G87" s="117">
        <f t="shared" si="1"/>
        <v>3.0034498364416757</v>
      </c>
      <c r="H87" s="117">
        <f t="shared" si="4"/>
        <v>3.0184999999999995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3.0144814782718603</v>
      </c>
      <c r="F88" s="117">
        <f t="shared" si="13"/>
        <v>3.0294999999999996</v>
      </c>
      <c r="G88" s="117">
        <f t="shared" si="1"/>
        <v>3.0024815520024086</v>
      </c>
      <c r="H88" s="117">
        <f t="shared" si="4"/>
        <v>3.0174999999999996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3.0144931862370021</v>
      </c>
      <c r="F89" s="117">
        <f t="shared" si="13"/>
        <v>3.0294999999999996</v>
      </c>
      <c r="G89" s="117">
        <f t="shared" si="1"/>
        <v>3.0014932156212843</v>
      </c>
      <c r="H89" s="117">
        <f t="shared" si="4"/>
        <v>3.0164999999999997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3.0144974933566759</v>
      </c>
      <c r="F90" s="117">
        <f t="shared" si="13"/>
        <v>3.0294999999999996</v>
      </c>
      <c r="G90" s="117">
        <f t="shared" si="1"/>
        <v>3.0004975049980782</v>
      </c>
      <c r="H90" s="117">
        <f t="shared" si="4"/>
        <v>3.0154999999999998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3.0144990778574545</v>
      </c>
      <c r="F91" s="117">
        <f t="shared" si="13"/>
        <v>3.0294999999999996</v>
      </c>
      <c r="G91" s="117">
        <f t="shared" si="1"/>
        <v>2.9994990824459893</v>
      </c>
      <c r="H91" s="117">
        <f t="shared" si="4"/>
        <v>3.0144999999999995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3.0144996607627155</v>
      </c>
      <c r="F92" s="117">
        <f t="shared" si="13"/>
        <v>3.0294999999999996</v>
      </c>
      <c r="G92" s="117">
        <f t="shared" si="1"/>
        <v>2.9984996625632783</v>
      </c>
      <c r="H92" s="117">
        <f t="shared" si="4"/>
        <v>3.0134999999999996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3.0144998752015773</v>
      </c>
      <c r="F93" s="117">
        <f t="shared" si="13"/>
        <v>3.0294999999999996</v>
      </c>
      <c r="G93" s="117">
        <f t="shared" si="1"/>
        <v>2.9974998759053668</v>
      </c>
      <c r="H93" s="117">
        <f t="shared" si="4"/>
        <v>3.0124999999999997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3.0144999540892257</v>
      </c>
      <c r="F94" s="117">
        <f t="shared" si="13"/>
        <v>3.0294999999999996</v>
      </c>
      <c r="G94" s="117">
        <f t="shared" si="1"/>
        <v>2.9964999543633652</v>
      </c>
      <c r="H94" s="117">
        <f t="shared" si="4"/>
        <v>3.0114999999999994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3.0144999831103698</v>
      </c>
      <c r="F95" s="117">
        <f t="shared" si="13"/>
        <v>3.0294999999999996</v>
      </c>
      <c r="G95" s="117">
        <f t="shared" si="1"/>
        <v>2.9954999832168228</v>
      </c>
      <c r="H95" s="117">
        <f t="shared" si="4"/>
        <v>3.0104999999999995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3.0144999937866519</v>
      </c>
      <c r="F96" s="117">
        <f t="shared" si="13"/>
        <v>3.0294999999999996</v>
      </c>
      <c r="G96" s="117">
        <f t="shared" si="1"/>
        <v>2.9944999938278749</v>
      </c>
      <c r="H96" s="117">
        <f t="shared" si="4"/>
        <v>3.0094999999999996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3.0144999977142368</v>
      </c>
      <c r="F97" s="117">
        <f t="shared" si="13"/>
        <v>3.0294999999999996</v>
      </c>
      <c r="G97" s="117">
        <f t="shared" si="1"/>
        <v>2.9934999977301602</v>
      </c>
      <c r="H97" s="117">
        <f t="shared" si="4"/>
        <v>3.0084999999999997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3.0144999991591144</v>
      </c>
      <c r="F98" s="117">
        <f t="shared" si="13"/>
        <v>3.0294999999999996</v>
      </c>
      <c r="G98" s="117">
        <f t="shared" si="1"/>
        <v>2.992499999165251</v>
      </c>
      <c r="H98" s="117">
        <f t="shared" si="4"/>
        <v>3.0074999999999994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3.014499999690655</v>
      </c>
      <c r="F99" s="117">
        <f t="shared" si="13"/>
        <v>3.0294999999999996</v>
      </c>
      <c r="G99" s="117">
        <f t="shared" si="1"/>
        <v>2.9914999996930152</v>
      </c>
      <c r="H99" s="117">
        <f t="shared" si="4"/>
        <v>3.0064999999999995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3.0144999998861981</v>
      </c>
      <c r="F100" s="117">
        <f t="shared" si="13"/>
        <v>3.0294999999999996</v>
      </c>
      <c r="G100" s="117">
        <f t="shared" si="1"/>
        <v>2.990499999887104</v>
      </c>
      <c r="H100" s="117">
        <f t="shared" si="4"/>
        <v>3.0054999999999996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3.0144999999581343</v>
      </c>
      <c r="F101" s="117">
        <f t="shared" si="13"/>
        <v>3.0294999999999996</v>
      </c>
      <c r="G101" s="117">
        <f t="shared" si="1"/>
        <v>2.9894999999584817</v>
      </c>
      <c r="H101" s="117">
        <f t="shared" si="4"/>
        <v>3.0044999999999997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3.0144999999845981</v>
      </c>
      <c r="F102" s="117">
        <f t="shared" si="13"/>
        <v>3.0294999999999996</v>
      </c>
      <c r="G102" s="117">
        <f t="shared" si="1"/>
        <v>2.9884999999847306</v>
      </c>
      <c r="H102" s="117">
        <f t="shared" si="4"/>
        <v>3.0034999999999994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3.0144999999943338</v>
      </c>
      <c r="F103" s="117">
        <f t="shared" si="13"/>
        <v>3.0294999999999996</v>
      </c>
      <c r="G103" s="117">
        <f t="shared" si="1"/>
        <v>2.9874999999943843</v>
      </c>
      <c r="H103" s="117">
        <f t="shared" si="4"/>
        <v>3.0024999999999995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3.014499999997915</v>
      </c>
      <c r="F104" s="117">
        <f t="shared" si="13"/>
        <v>3.0294999999999996</v>
      </c>
      <c r="G104" s="117">
        <f t="shared" si="1"/>
        <v>2.9864999999979345</v>
      </c>
      <c r="H104" s="117">
        <f t="shared" si="4"/>
        <v>3.0014999999999996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3.0144999999992326</v>
      </c>
      <c r="F105" s="117">
        <f t="shared" si="13"/>
        <v>3.0294999999999996</v>
      </c>
      <c r="G105" s="117">
        <f t="shared" si="1"/>
        <v>2.9854999999992402</v>
      </c>
      <c r="H105" s="117">
        <f t="shared" si="4"/>
        <v>3.0004999999999997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3.0144999999997175</v>
      </c>
      <c r="F106" s="117">
        <f t="shared" si="13"/>
        <v>3.0294999999999996</v>
      </c>
      <c r="G106" s="117">
        <f t="shared" si="1"/>
        <v>2.9844999999997199</v>
      </c>
      <c r="H106" s="117">
        <f t="shared" si="4"/>
        <v>2.9994999999999994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3.0144999999998956</v>
      </c>
      <c r="F107" s="117">
        <f t="shared" si="13"/>
        <v>3.0294999999999996</v>
      </c>
      <c r="G107" s="117">
        <f t="shared" si="1"/>
        <v>2.9834999999998968</v>
      </c>
      <c r="H107" s="117">
        <f t="shared" si="4"/>
        <v>2.9984999999999995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3.0144999999999613</v>
      </c>
      <c r="F108" s="117">
        <f t="shared" si="13"/>
        <v>3.0294999999999996</v>
      </c>
      <c r="G108" s="117">
        <f t="shared" ref="G108:G139" si="20">(H108-$H$74)/(1-EXP(-1/G$74))*(1-EXP(-$B108/G$74))</f>
        <v>2.9824999999999617</v>
      </c>
      <c r="H108" s="117">
        <f t="shared" si="4"/>
        <v>2.9974999999999996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3.0144999999999853</v>
      </c>
      <c r="F109" s="117">
        <f t="shared" si="13"/>
        <v>3.0294999999999996</v>
      </c>
      <c r="G109" s="117">
        <f t="shared" si="20"/>
        <v>2.9814999999999858</v>
      </c>
      <c r="H109" s="117">
        <f t="shared" ref="H109:H140" si="22">$H$68*B109+$H$69</f>
        <v>2.9964999999999997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3.0144999999999946</v>
      </c>
      <c r="F110" s="117">
        <f t="shared" si="13"/>
        <v>3.0294999999999996</v>
      </c>
      <c r="G110" s="117">
        <f t="shared" si="20"/>
        <v>2.9804999999999944</v>
      </c>
      <c r="H110" s="117">
        <f t="shared" si="22"/>
        <v>2.9954999999999994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3.0144999999999973</v>
      </c>
      <c r="F111" s="117">
        <f t="shared" si="13"/>
        <v>3.0294999999999996</v>
      </c>
      <c r="G111" s="117">
        <f t="shared" si="20"/>
        <v>2.9794999999999976</v>
      </c>
      <c r="H111" s="117">
        <f t="shared" si="22"/>
        <v>2.9944999999999995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3.0144999999999986</v>
      </c>
      <c r="F112" s="117">
        <f t="shared" si="13"/>
        <v>3.0294999999999996</v>
      </c>
      <c r="G112" s="117">
        <f t="shared" si="20"/>
        <v>2.978499999999999</v>
      </c>
      <c r="H112" s="117">
        <f t="shared" si="22"/>
        <v>2.9934999999999996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3.0144999999999991</v>
      </c>
      <c r="F113" s="117">
        <f t="shared" si="13"/>
        <v>3.0294999999999996</v>
      </c>
      <c r="G113" s="117">
        <f t="shared" si="20"/>
        <v>2.9774999999999991</v>
      </c>
      <c r="H113" s="117">
        <f t="shared" si="22"/>
        <v>2.9924999999999997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3.0144999999999995</v>
      </c>
      <c r="F114" s="117">
        <f t="shared" si="13"/>
        <v>3.0294999999999996</v>
      </c>
      <c r="G114" s="117">
        <f t="shared" si="20"/>
        <v>2.9764999999999993</v>
      </c>
      <c r="H114" s="117">
        <f t="shared" si="22"/>
        <v>2.9914999999999994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3.0144999999999995</v>
      </c>
      <c r="F115" s="117">
        <f t="shared" si="13"/>
        <v>3.0294999999999996</v>
      </c>
      <c r="G115" s="117">
        <f t="shared" si="20"/>
        <v>2.9754999999999994</v>
      </c>
      <c r="H115" s="117">
        <f t="shared" si="22"/>
        <v>2.9904999999999995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3.0144999999999995</v>
      </c>
      <c r="F116" s="117">
        <f t="shared" si="13"/>
        <v>3.0294999999999996</v>
      </c>
      <c r="G116" s="117">
        <f t="shared" si="20"/>
        <v>2.9744999999999995</v>
      </c>
      <c r="H116" s="117">
        <f t="shared" si="22"/>
        <v>2.9894999999999996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3.0144999999999995</v>
      </c>
      <c r="F117" s="117">
        <f t="shared" si="13"/>
        <v>3.0294999999999996</v>
      </c>
      <c r="G117" s="117">
        <f t="shared" si="20"/>
        <v>2.9734999999999996</v>
      </c>
      <c r="H117" s="117">
        <f t="shared" si="22"/>
        <v>2.9884999999999997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3.0144999999999995</v>
      </c>
      <c r="F118" s="117">
        <f t="shared" ref="F118:F176" si="23">F117</f>
        <v>3.0294999999999996</v>
      </c>
      <c r="G118" s="117">
        <f t="shared" si="20"/>
        <v>2.9724999999999993</v>
      </c>
      <c r="H118" s="117">
        <f t="shared" si="22"/>
        <v>2.9874999999999994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3.0144999999999995</v>
      </c>
      <c r="F119" s="117">
        <f t="shared" si="23"/>
        <v>3.0294999999999996</v>
      </c>
      <c r="G119" s="117">
        <f t="shared" si="20"/>
        <v>2.9714999999999994</v>
      </c>
      <c r="H119" s="117">
        <f t="shared" si="22"/>
        <v>2.9864999999999995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3.0144999999999995</v>
      </c>
      <c r="F120" s="117">
        <f t="shared" si="23"/>
        <v>3.0294999999999996</v>
      </c>
      <c r="G120" s="117">
        <f t="shared" si="20"/>
        <v>2.9704999999999995</v>
      </c>
      <c r="H120" s="117">
        <f t="shared" si="22"/>
        <v>2.9854999999999996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3.0144999999999995</v>
      </c>
      <c r="F121" s="117">
        <f t="shared" si="23"/>
        <v>3.0294999999999996</v>
      </c>
      <c r="G121" s="117">
        <f t="shared" si="20"/>
        <v>2.9694999999999996</v>
      </c>
      <c r="H121" s="117">
        <f t="shared" si="22"/>
        <v>2.9844999999999997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3.0144999999999995</v>
      </c>
      <c r="F122" s="117">
        <f t="shared" si="23"/>
        <v>3.0294999999999996</v>
      </c>
      <c r="G122" s="117">
        <f t="shared" si="20"/>
        <v>2.9684999999999993</v>
      </c>
      <c r="H122" s="117">
        <f t="shared" si="22"/>
        <v>2.9834999999999994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3.0144999999999995</v>
      </c>
      <c r="F123" s="117">
        <f t="shared" si="23"/>
        <v>3.0294999999999996</v>
      </c>
      <c r="G123" s="117">
        <f t="shared" si="20"/>
        <v>2.9674999999999994</v>
      </c>
      <c r="H123" s="117">
        <f t="shared" si="22"/>
        <v>2.9824999999999995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3.0144999999999995</v>
      </c>
      <c r="F124" s="117">
        <f t="shared" si="23"/>
        <v>3.0294999999999996</v>
      </c>
      <c r="G124" s="117">
        <f t="shared" si="20"/>
        <v>2.9664999999999995</v>
      </c>
      <c r="H124" s="117">
        <f t="shared" si="22"/>
        <v>2.9814999999999996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3.0144999999999995</v>
      </c>
      <c r="F125" s="117">
        <f t="shared" si="23"/>
        <v>3.0294999999999996</v>
      </c>
      <c r="G125" s="117">
        <f t="shared" si="20"/>
        <v>2.9654999999999996</v>
      </c>
      <c r="H125" s="117">
        <f t="shared" si="22"/>
        <v>2.9804999999999997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3.0144999999999995</v>
      </c>
      <c r="F126" s="117">
        <f t="shared" si="23"/>
        <v>3.0294999999999996</v>
      </c>
      <c r="G126" s="117">
        <f t="shared" si="20"/>
        <v>2.9644999999999992</v>
      </c>
      <c r="H126" s="117">
        <f t="shared" si="22"/>
        <v>2.9794999999999994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3.0144999999999995</v>
      </c>
      <c r="F127" s="117">
        <f t="shared" si="23"/>
        <v>3.0294999999999996</v>
      </c>
      <c r="G127" s="117">
        <f t="shared" si="20"/>
        <v>2.9634999999999994</v>
      </c>
      <c r="H127" s="117">
        <f t="shared" si="22"/>
        <v>2.9784999999999995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3.0144999999999995</v>
      </c>
      <c r="F128" s="117">
        <f t="shared" si="23"/>
        <v>3.0294999999999996</v>
      </c>
      <c r="G128" s="117">
        <f t="shared" si="20"/>
        <v>2.9624999999999995</v>
      </c>
      <c r="H128" s="117">
        <f t="shared" si="22"/>
        <v>2.9774999999999996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3.0144999999999995</v>
      </c>
      <c r="F129" s="117">
        <f t="shared" si="23"/>
        <v>3.0294999999999996</v>
      </c>
      <c r="G129" s="117">
        <f t="shared" si="20"/>
        <v>2.9614999999999996</v>
      </c>
      <c r="H129" s="117">
        <f t="shared" si="22"/>
        <v>2.9764999999999997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3.0144999999999995</v>
      </c>
      <c r="F130" s="117">
        <f t="shared" si="23"/>
        <v>3.0294999999999996</v>
      </c>
      <c r="G130" s="117">
        <f t="shared" si="20"/>
        <v>2.9604999999999992</v>
      </c>
      <c r="H130" s="117">
        <f t="shared" si="22"/>
        <v>2.9754999999999994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3.0144999999999995</v>
      </c>
      <c r="F131" s="117">
        <f t="shared" si="23"/>
        <v>3.0294999999999996</v>
      </c>
      <c r="G131" s="117">
        <f t="shared" si="20"/>
        <v>2.9594999999999994</v>
      </c>
      <c r="H131" s="117">
        <f t="shared" si="22"/>
        <v>2.9744999999999995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3.0144999999999995</v>
      </c>
      <c r="F132" s="117">
        <f t="shared" si="23"/>
        <v>3.0294999999999996</v>
      </c>
      <c r="G132" s="117">
        <f t="shared" si="20"/>
        <v>2.9584999999999995</v>
      </c>
      <c r="H132" s="117">
        <f t="shared" si="22"/>
        <v>2.9734999999999996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3.0144999999999995</v>
      </c>
      <c r="F133" s="117">
        <f t="shared" si="23"/>
        <v>3.0294999999999996</v>
      </c>
      <c r="G133" s="117">
        <f t="shared" si="20"/>
        <v>2.9574999999999996</v>
      </c>
      <c r="H133" s="117">
        <f t="shared" si="22"/>
        <v>2.9724999999999997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3.0144999999999995</v>
      </c>
      <c r="F134" s="117">
        <f t="shared" si="23"/>
        <v>3.0294999999999996</v>
      </c>
      <c r="G134" s="117">
        <f t="shared" si="20"/>
        <v>2.9564999999999992</v>
      </c>
      <c r="H134" s="117">
        <f t="shared" si="22"/>
        <v>2.9714999999999994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3.0144999999999995</v>
      </c>
      <c r="F135" s="117">
        <f t="shared" si="23"/>
        <v>3.0294999999999996</v>
      </c>
      <c r="G135" s="117">
        <f t="shared" si="20"/>
        <v>2.9554999999999993</v>
      </c>
      <c r="H135" s="117">
        <f t="shared" si="22"/>
        <v>2.9704999999999995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3.0144999999999995</v>
      </c>
      <c r="F136" s="117">
        <f t="shared" si="23"/>
        <v>3.0294999999999996</v>
      </c>
      <c r="G136" s="117">
        <f t="shared" si="20"/>
        <v>2.9544999999999995</v>
      </c>
      <c r="H136" s="117">
        <f t="shared" si="22"/>
        <v>2.9694999999999996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3.0144999999999995</v>
      </c>
      <c r="F137" s="117">
        <f t="shared" si="23"/>
        <v>3.0294999999999996</v>
      </c>
      <c r="G137" s="117">
        <f t="shared" si="20"/>
        <v>2.9534999999999996</v>
      </c>
      <c r="H137" s="117">
        <f t="shared" si="22"/>
        <v>2.9684999999999997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3.0144999999999995</v>
      </c>
      <c r="F138" s="117">
        <f t="shared" si="23"/>
        <v>3.0294999999999996</v>
      </c>
      <c r="G138" s="117">
        <f t="shared" si="20"/>
        <v>2.9524999999999992</v>
      </c>
      <c r="H138" s="117">
        <f t="shared" si="22"/>
        <v>2.9674999999999994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3.0144999999999995</v>
      </c>
      <c r="F139" s="117">
        <f t="shared" si="23"/>
        <v>3.0294999999999996</v>
      </c>
      <c r="G139" s="117">
        <f t="shared" si="20"/>
        <v>2.9514999999999993</v>
      </c>
      <c r="H139" s="117">
        <f t="shared" si="22"/>
        <v>2.9664999999999995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3.0144999999999995</v>
      </c>
      <c r="F140" s="117">
        <f t="shared" si="23"/>
        <v>3.0294999999999996</v>
      </c>
      <c r="G140" s="117">
        <f t="shared" ref="G140:G171" si="25">(H140-$H$74)/(1-EXP(-1/G$74))*(1-EXP(-$B140/G$74))</f>
        <v>2.9504999999999995</v>
      </c>
      <c r="H140" s="117">
        <f t="shared" si="22"/>
        <v>2.9654999999999996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3.0144999999999995</v>
      </c>
      <c r="F141" s="117">
        <f t="shared" si="23"/>
        <v>3.0294999999999996</v>
      </c>
      <c r="G141" s="117">
        <f t="shared" si="25"/>
        <v>2.9494999999999996</v>
      </c>
      <c r="H141" s="117">
        <f t="shared" ref="H141:H175" si="28">$H$68*B141+$H$69</f>
        <v>2.9644999999999997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3.0144999999999995</v>
      </c>
      <c r="F142" s="117">
        <f t="shared" si="23"/>
        <v>3.0294999999999996</v>
      </c>
      <c r="G142" s="117">
        <f t="shared" si="25"/>
        <v>2.9484999999999992</v>
      </c>
      <c r="H142" s="117">
        <f t="shared" si="28"/>
        <v>2.9634999999999994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3.0144999999999995</v>
      </c>
      <c r="F143" s="117">
        <f t="shared" si="23"/>
        <v>3.0294999999999996</v>
      </c>
      <c r="G143" s="117">
        <f t="shared" si="25"/>
        <v>2.9474999999999993</v>
      </c>
      <c r="H143" s="117">
        <f t="shared" si="28"/>
        <v>2.9624999999999995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3.0144999999999995</v>
      </c>
      <c r="F144" s="117">
        <f t="shared" si="23"/>
        <v>3.0294999999999996</v>
      </c>
      <c r="G144" s="117">
        <f t="shared" si="25"/>
        <v>2.9464999999999995</v>
      </c>
      <c r="H144" s="117">
        <f t="shared" si="28"/>
        <v>2.9614999999999996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3.0144999999999995</v>
      </c>
      <c r="F145" s="117">
        <f t="shared" si="23"/>
        <v>3.0294999999999996</v>
      </c>
      <c r="G145" s="117">
        <f t="shared" si="25"/>
        <v>2.9454999999999996</v>
      </c>
      <c r="H145" s="117">
        <f t="shared" si="28"/>
        <v>2.9604999999999997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3.0144999999999995</v>
      </c>
      <c r="F146" s="117">
        <f t="shared" si="23"/>
        <v>3.0294999999999996</v>
      </c>
      <c r="G146" s="117">
        <f t="shared" si="25"/>
        <v>2.9444999999999992</v>
      </c>
      <c r="H146" s="117">
        <f t="shared" si="28"/>
        <v>2.9594999999999994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3.0144999999999995</v>
      </c>
      <c r="F147" s="117">
        <f t="shared" si="23"/>
        <v>3.0294999999999996</v>
      </c>
      <c r="G147" s="117">
        <f t="shared" si="25"/>
        <v>2.9434999999999993</v>
      </c>
      <c r="H147" s="117">
        <f t="shared" si="28"/>
        <v>2.9584999999999995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3.0144999999999995</v>
      </c>
      <c r="F148" s="117">
        <f t="shared" si="23"/>
        <v>3.0294999999999996</v>
      </c>
      <c r="G148" s="117">
        <f t="shared" si="25"/>
        <v>2.9424999999999994</v>
      </c>
      <c r="H148" s="117">
        <f t="shared" si="28"/>
        <v>2.9574999999999996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3.0144999999999995</v>
      </c>
      <c r="F149" s="117">
        <f t="shared" si="23"/>
        <v>3.0294999999999996</v>
      </c>
      <c r="G149" s="117">
        <f t="shared" si="25"/>
        <v>2.9414999999999996</v>
      </c>
      <c r="H149" s="117">
        <f t="shared" si="28"/>
        <v>2.9564999999999997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3.0144999999999995</v>
      </c>
      <c r="F150" s="117">
        <f t="shared" si="23"/>
        <v>3.0294999999999996</v>
      </c>
      <c r="G150" s="117">
        <f t="shared" si="25"/>
        <v>2.9404999999999992</v>
      </c>
      <c r="H150" s="117">
        <f t="shared" si="28"/>
        <v>2.9554999999999993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3.0144999999999995</v>
      </c>
      <c r="F151" s="117">
        <f t="shared" si="23"/>
        <v>3.0294999999999996</v>
      </c>
      <c r="G151" s="117">
        <f t="shared" si="25"/>
        <v>2.9394999999999993</v>
      </c>
      <c r="H151" s="117">
        <f t="shared" si="28"/>
        <v>2.9544999999999995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3.0144999999999995</v>
      </c>
      <c r="F152" s="117">
        <f t="shared" si="23"/>
        <v>3.0294999999999996</v>
      </c>
      <c r="G152" s="117">
        <f t="shared" si="25"/>
        <v>2.9384999999999994</v>
      </c>
      <c r="H152" s="117">
        <f t="shared" si="28"/>
        <v>2.9534999999999996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3.0144999999999995</v>
      </c>
      <c r="F153" s="117">
        <f t="shared" si="23"/>
        <v>3.0294999999999996</v>
      </c>
      <c r="G153" s="117">
        <f t="shared" si="25"/>
        <v>2.9374999999999996</v>
      </c>
      <c r="H153" s="117">
        <f t="shared" si="28"/>
        <v>2.9524999999999997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3.0144999999999995</v>
      </c>
      <c r="F154" s="117">
        <f t="shared" si="23"/>
        <v>3.0294999999999996</v>
      </c>
      <c r="G154" s="117">
        <f t="shared" si="25"/>
        <v>2.9364999999999992</v>
      </c>
      <c r="H154" s="117">
        <f t="shared" si="28"/>
        <v>2.9514999999999993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3.0144999999999995</v>
      </c>
      <c r="F155" s="117">
        <f t="shared" si="23"/>
        <v>3.0294999999999996</v>
      </c>
      <c r="G155" s="117">
        <f t="shared" si="25"/>
        <v>2.9354999999999993</v>
      </c>
      <c r="H155" s="117">
        <f t="shared" si="28"/>
        <v>2.9504999999999995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3.0144999999999995</v>
      </c>
      <c r="F156" s="117">
        <f t="shared" si="23"/>
        <v>3.0294999999999996</v>
      </c>
      <c r="G156" s="117">
        <f t="shared" si="25"/>
        <v>2.9344999999999994</v>
      </c>
      <c r="H156" s="117">
        <f t="shared" si="28"/>
        <v>2.9494999999999996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3.0144999999999995</v>
      </c>
      <c r="F157" s="117">
        <f t="shared" si="23"/>
        <v>3.0294999999999996</v>
      </c>
      <c r="G157" s="117">
        <f t="shared" si="25"/>
        <v>2.9334999999999996</v>
      </c>
      <c r="H157" s="117">
        <f t="shared" si="28"/>
        <v>2.9484999999999997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3.0144999999999995</v>
      </c>
      <c r="F158" s="117">
        <f t="shared" si="23"/>
        <v>3.0294999999999996</v>
      </c>
      <c r="G158" s="117">
        <f t="shared" si="25"/>
        <v>2.9324999999999992</v>
      </c>
      <c r="H158" s="117">
        <f t="shared" si="28"/>
        <v>2.9474999999999993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3.0144999999999995</v>
      </c>
      <c r="F159" s="117">
        <f t="shared" si="23"/>
        <v>3.0294999999999996</v>
      </c>
      <c r="G159" s="117">
        <f t="shared" si="25"/>
        <v>2.9314999999999993</v>
      </c>
      <c r="H159" s="117">
        <f t="shared" si="28"/>
        <v>2.9464999999999995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3.0144999999999995</v>
      </c>
      <c r="F160" s="117">
        <f t="shared" si="23"/>
        <v>3.0294999999999996</v>
      </c>
      <c r="G160" s="117">
        <f t="shared" si="25"/>
        <v>2.9304999999999994</v>
      </c>
      <c r="H160" s="117">
        <f t="shared" si="28"/>
        <v>2.9454999999999996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3.0144999999999995</v>
      </c>
      <c r="F161" s="117">
        <f t="shared" si="23"/>
        <v>3.0294999999999996</v>
      </c>
      <c r="G161" s="117">
        <f t="shared" si="25"/>
        <v>2.9294999999999995</v>
      </c>
      <c r="H161" s="117">
        <f t="shared" si="28"/>
        <v>2.9444999999999997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3.0144999999999995</v>
      </c>
      <c r="F162" s="117">
        <f t="shared" si="23"/>
        <v>3.0294999999999996</v>
      </c>
      <c r="G162" s="117">
        <f t="shared" si="25"/>
        <v>2.9284999999999992</v>
      </c>
      <c r="H162" s="117">
        <f t="shared" si="28"/>
        <v>2.9434999999999993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3.0144999999999995</v>
      </c>
      <c r="F163" s="117">
        <f t="shared" si="23"/>
        <v>3.0294999999999996</v>
      </c>
      <c r="G163" s="117">
        <f t="shared" si="25"/>
        <v>2.9274999999999993</v>
      </c>
      <c r="H163" s="117">
        <f t="shared" si="28"/>
        <v>2.9424999999999994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3.0144999999999995</v>
      </c>
      <c r="F164" s="117">
        <f t="shared" si="23"/>
        <v>3.0294999999999996</v>
      </c>
      <c r="G164" s="117">
        <f t="shared" si="25"/>
        <v>2.9264999999999994</v>
      </c>
      <c r="H164" s="117">
        <f t="shared" si="28"/>
        <v>2.9414999999999996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3.0144999999999995</v>
      </c>
      <c r="F165" s="117">
        <f t="shared" si="23"/>
        <v>3.0294999999999996</v>
      </c>
      <c r="G165" s="117">
        <f t="shared" si="25"/>
        <v>2.9254999999999995</v>
      </c>
      <c r="H165" s="117">
        <f t="shared" si="28"/>
        <v>2.9404999999999997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3.0144999999999995</v>
      </c>
      <c r="F166" s="117">
        <f t="shared" si="23"/>
        <v>3.0294999999999996</v>
      </c>
      <c r="G166" s="117">
        <f t="shared" si="25"/>
        <v>2.9244999999999992</v>
      </c>
      <c r="H166" s="117">
        <f t="shared" si="28"/>
        <v>2.9394999999999993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3.0144999999999995</v>
      </c>
      <c r="F167" s="117">
        <f t="shared" si="23"/>
        <v>3.0294999999999996</v>
      </c>
      <c r="G167" s="117">
        <f t="shared" si="25"/>
        <v>2.9234999999999993</v>
      </c>
      <c r="H167" s="117">
        <f t="shared" si="28"/>
        <v>2.9384999999999994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3.0144999999999995</v>
      </c>
      <c r="F168" s="117">
        <f t="shared" si="23"/>
        <v>3.0294999999999996</v>
      </c>
      <c r="G168" s="117">
        <f t="shared" si="25"/>
        <v>2.9224999999999994</v>
      </c>
      <c r="H168" s="117">
        <f t="shared" si="28"/>
        <v>2.9374999999999996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3.0144999999999995</v>
      </c>
      <c r="F169" s="117">
        <f t="shared" si="23"/>
        <v>3.0294999999999996</v>
      </c>
      <c r="G169" s="117">
        <f t="shared" si="25"/>
        <v>2.9214999999999995</v>
      </c>
      <c r="H169" s="117">
        <f t="shared" si="28"/>
        <v>2.9364999999999997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3.0144999999999995</v>
      </c>
      <c r="F170" s="117">
        <f t="shared" si="23"/>
        <v>3.0294999999999996</v>
      </c>
      <c r="G170" s="117">
        <f t="shared" si="25"/>
        <v>2.9204999999999992</v>
      </c>
      <c r="H170" s="117">
        <f t="shared" si="28"/>
        <v>2.9354999999999993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3.0144999999999995</v>
      </c>
      <c r="F171" s="117">
        <f t="shared" si="23"/>
        <v>3.0294999999999996</v>
      </c>
      <c r="G171" s="117">
        <f t="shared" si="25"/>
        <v>2.9194999999999993</v>
      </c>
      <c r="H171" s="117">
        <f t="shared" si="28"/>
        <v>2.9344999999999994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3.0144999999999995</v>
      </c>
      <c r="F172" s="117">
        <f t="shared" si="23"/>
        <v>3.0294999999999996</v>
      </c>
      <c r="G172" s="117">
        <f t="shared" ref="G172:G175" si="42">(H172-$H$74)/(1-EXP(-1/G$74))*(1-EXP(-$B172/G$74))</f>
        <v>2.9184999999999994</v>
      </c>
      <c r="H172" s="117">
        <f t="shared" si="28"/>
        <v>2.9334999999999996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3.0144999999999995</v>
      </c>
      <c r="F173" s="117">
        <f t="shared" si="23"/>
        <v>3.0294999999999996</v>
      </c>
      <c r="G173" s="117">
        <f t="shared" si="42"/>
        <v>2.9174999999999995</v>
      </c>
      <c r="H173" s="117">
        <f t="shared" si="28"/>
        <v>2.9324999999999997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3.0144999999999995</v>
      </c>
      <c r="F174" s="117">
        <f t="shared" si="23"/>
        <v>3.0294999999999996</v>
      </c>
      <c r="G174" s="117">
        <f t="shared" si="42"/>
        <v>2.9164999999999992</v>
      </c>
      <c r="H174" s="117">
        <f t="shared" si="28"/>
        <v>2.9314999999999993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3.0144999999999995</v>
      </c>
      <c r="F175" s="117">
        <f t="shared" si="23"/>
        <v>3.0294999999999996</v>
      </c>
      <c r="G175" s="117">
        <f t="shared" si="42"/>
        <v>2.9154999999999993</v>
      </c>
      <c r="H175" s="117">
        <f t="shared" si="28"/>
        <v>2.9304999999999994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3.0144999999999995</v>
      </c>
      <c r="F176" s="117">
        <f t="shared" si="23"/>
        <v>3.0294999999999996</v>
      </c>
      <c r="G176" s="117">
        <f>B176*$H$41+$H$42</f>
        <v>2.9154999999999989</v>
      </c>
      <c r="H176" s="117">
        <f>H175</f>
        <v>2.9304999999999994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1.3472800000000031</v>
      </c>
      <c r="D177" s="10">
        <f t="shared" si="36"/>
        <v>0.65</v>
      </c>
      <c r="E177" s="117">
        <f>$K$11*$B177+$K$12</f>
        <v>3.0393550000000005</v>
      </c>
      <c r="F177" s="117">
        <f t="shared" ref="F177:F208" si="46">E177+$F$74</f>
        <v>3.0543550000000006</v>
      </c>
      <c r="G177" s="117">
        <f t="shared" ref="G177:G200" si="47">B177*$H$41+$H$42</f>
        <v>2.8981599999999985</v>
      </c>
      <c r="H177" s="117">
        <f t="shared" ref="H177:H240" si="48">H176</f>
        <v>2.9304999999999994</v>
      </c>
      <c r="I177" s="116">
        <f>IF($B$7=constants!$C$60,G177,IF($B$8=constants!$C$60,C177,E177))</f>
        <v>1.3472800000000031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1.3945600000000029</v>
      </c>
      <c r="D178" s="10">
        <f t="shared" si="36"/>
        <v>0.65</v>
      </c>
      <c r="E178" s="117">
        <f t="shared" ref="E178:E241" si="50">$K$11*$B178+$K$12</f>
        <v>3.0492100000000004</v>
      </c>
      <c r="F178" s="117">
        <f t="shared" si="46"/>
        <v>3.0642100000000005</v>
      </c>
      <c r="G178" s="117">
        <f t="shared" si="47"/>
        <v>2.8808199999999986</v>
      </c>
      <c r="H178" s="117">
        <f t="shared" si="48"/>
        <v>2.9304999999999994</v>
      </c>
      <c r="I178" s="116">
        <f>IF($B$7=constants!$C$60,G178,IF($B$8=constants!$C$60,C178,E178))</f>
        <v>1.3945600000000029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1.4418400000000027</v>
      </c>
      <c r="D179" s="10">
        <f t="shared" si="36"/>
        <v>0.65</v>
      </c>
      <c r="E179" s="117">
        <f t="shared" si="50"/>
        <v>3.0590650000000004</v>
      </c>
      <c r="F179" s="117">
        <f t="shared" si="46"/>
        <v>3.0740650000000005</v>
      </c>
      <c r="G179" s="117">
        <f t="shared" si="47"/>
        <v>2.8634799999999987</v>
      </c>
      <c r="H179" s="117">
        <f t="shared" si="48"/>
        <v>2.9304999999999994</v>
      </c>
      <c r="I179" s="116">
        <f>IF($B$7=constants!$C$60,G179,IF($B$8=constants!$C$60,C179,E179))</f>
        <v>1.4418400000000027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1.4891200000000033</v>
      </c>
      <c r="D180" s="10">
        <f t="shared" si="36"/>
        <v>0.65</v>
      </c>
      <c r="E180" s="117">
        <f t="shared" si="50"/>
        <v>3.0689200000000003</v>
      </c>
      <c r="F180" s="117">
        <f t="shared" si="46"/>
        <v>3.0839200000000004</v>
      </c>
      <c r="G180" s="117">
        <f t="shared" si="47"/>
        <v>2.8461399999999983</v>
      </c>
      <c r="H180" s="117">
        <f t="shared" si="48"/>
        <v>2.9304999999999994</v>
      </c>
      <c r="I180" s="116">
        <f>IF($B$7=constants!$C$60,G180,IF($B$8=constants!$C$60,C180,E180))</f>
        <v>1.4891200000000033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1.5364000000000031</v>
      </c>
      <c r="D181" s="10">
        <f t="shared" si="36"/>
        <v>0.65</v>
      </c>
      <c r="E181" s="117">
        <f t="shared" si="50"/>
        <v>3.0787750000000003</v>
      </c>
      <c r="F181" s="117">
        <f t="shared" si="46"/>
        <v>3.0937750000000004</v>
      </c>
      <c r="G181" s="117">
        <f t="shared" si="47"/>
        <v>2.8287999999999984</v>
      </c>
      <c r="H181" s="117">
        <f t="shared" si="48"/>
        <v>2.9304999999999994</v>
      </c>
      <c r="I181" s="116">
        <f>IF($B$7=constants!$C$60,G181,IF($B$8=constants!$C$60,C181,E181))</f>
        <v>1.5364000000000031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1.5836800000000029</v>
      </c>
      <c r="D182" s="10">
        <f t="shared" si="36"/>
        <v>0.65</v>
      </c>
      <c r="E182" s="117">
        <f t="shared" si="50"/>
        <v>3.0886300000000002</v>
      </c>
      <c r="F182" s="117">
        <f t="shared" si="46"/>
        <v>3.1036300000000003</v>
      </c>
      <c r="G182" s="117">
        <f t="shared" si="47"/>
        <v>2.8114599999999985</v>
      </c>
      <c r="H182" s="117">
        <f t="shared" si="48"/>
        <v>2.9304999999999994</v>
      </c>
      <c r="I182" s="116">
        <f>IF($B$7=constants!$C$60,G182,IF($B$8=constants!$C$60,C182,E182))</f>
        <v>1.5836800000000029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1.6309600000000035</v>
      </c>
      <c r="D183" s="10">
        <f t="shared" si="36"/>
        <v>0.65</v>
      </c>
      <c r="E183" s="117">
        <f t="shared" si="50"/>
        <v>3.0984850000000002</v>
      </c>
      <c r="F183" s="117">
        <f t="shared" si="46"/>
        <v>3.1134850000000003</v>
      </c>
      <c r="G183" s="117">
        <f t="shared" si="47"/>
        <v>2.7941199999999986</v>
      </c>
      <c r="H183" s="117">
        <f t="shared" si="48"/>
        <v>2.9304999999999994</v>
      </c>
      <c r="I183" s="116">
        <f>IF($B$7=constants!$C$60,G183,IF($B$8=constants!$C$60,C183,E183))</f>
        <v>1.6309600000000035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1.6782400000000033</v>
      </c>
      <c r="D184" s="10">
        <f t="shared" si="36"/>
        <v>0.65</v>
      </c>
      <c r="E184" s="117">
        <f t="shared" si="50"/>
        <v>3.1083400000000001</v>
      </c>
      <c r="F184" s="117">
        <f t="shared" si="46"/>
        <v>3.1233400000000002</v>
      </c>
      <c r="G184" s="117">
        <f t="shared" si="47"/>
        <v>2.7767799999999987</v>
      </c>
      <c r="H184" s="117">
        <f t="shared" si="48"/>
        <v>2.9304999999999994</v>
      </c>
      <c r="I184" s="116">
        <f>IF($B$7=constants!$C$60,G184,IF($B$8=constants!$C$60,C184,E184))</f>
        <v>1.6782400000000033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1.7255200000000031</v>
      </c>
      <c r="D185" s="10">
        <f t="shared" si="36"/>
        <v>0.65</v>
      </c>
      <c r="E185" s="117">
        <f t="shared" si="50"/>
        <v>3.1181950000000001</v>
      </c>
      <c r="F185" s="117">
        <f t="shared" si="46"/>
        <v>3.1331950000000002</v>
      </c>
      <c r="G185" s="117">
        <f t="shared" si="47"/>
        <v>2.7594399999999988</v>
      </c>
      <c r="H185" s="117">
        <f t="shared" si="48"/>
        <v>2.9304999999999994</v>
      </c>
      <c r="I185" s="116">
        <f>IF($B$7=constants!$C$60,G185,IF($B$8=constants!$C$60,C185,E185))</f>
        <v>1.7255200000000031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1.7728000000000037</v>
      </c>
      <c r="D186" s="10">
        <f t="shared" si="36"/>
        <v>0.65</v>
      </c>
      <c r="E186" s="117">
        <f t="shared" si="50"/>
        <v>3.1280500000000004</v>
      </c>
      <c r="F186" s="117">
        <f t="shared" si="46"/>
        <v>3.1430500000000006</v>
      </c>
      <c r="G186" s="117">
        <f t="shared" si="47"/>
        <v>2.7420999999999989</v>
      </c>
      <c r="H186" s="117">
        <f t="shared" si="48"/>
        <v>2.9304999999999994</v>
      </c>
      <c r="I186" s="116">
        <f>IF($B$7=constants!$C$60,G186,IF($B$8=constants!$C$60,C186,E186))</f>
        <v>1.7728000000000037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1.8200800000000035</v>
      </c>
      <c r="D187" s="10">
        <f t="shared" si="36"/>
        <v>0.65</v>
      </c>
      <c r="E187" s="117">
        <f t="shared" si="50"/>
        <v>3.1379050000000004</v>
      </c>
      <c r="F187" s="117">
        <f t="shared" si="46"/>
        <v>3.1529050000000005</v>
      </c>
      <c r="G187" s="117">
        <f t="shared" si="47"/>
        <v>2.724759999999999</v>
      </c>
      <c r="H187" s="117">
        <f t="shared" si="48"/>
        <v>2.9304999999999994</v>
      </c>
      <c r="I187" s="116">
        <f>IF($B$7=constants!$C$60,G187,IF($B$8=constants!$C$60,C187,E187))</f>
        <v>1.8200800000000035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1.8673600000000032</v>
      </c>
      <c r="D188" s="10">
        <f t="shared" si="36"/>
        <v>0.65</v>
      </c>
      <c r="E188" s="117">
        <f t="shared" si="50"/>
        <v>3.1477600000000003</v>
      </c>
      <c r="F188" s="117">
        <f t="shared" si="46"/>
        <v>3.1627600000000005</v>
      </c>
      <c r="G188" s="117">
        <f t="shared" si="47"/>
        <v>2.7074199999999986</v>
      </c>
      <c r="H188" s="117">
        <f t="shared" si="48"/>
        <v>2.9304999999999994</v>
      </c>
      <c r="I188" s="116">
        <f>IF($B$7=constants!$C$60,G188,IF($B$8=constants!$C$60,C188,E188))</f>
        <v>1.8673600000000032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1.914640000000003</v>
      </c>
      <c r="D189" s="10">
        <f t="shared" si="36"/>
        <v>0.65</v>
      </c>
      <c r="E189" s="117">
        <f t="shared" si="50"/>
        <v>3.1576150000000007</v>
      </c>
      <c r="F189" s="117">
        <f t="shared" si="46"/>
        <v>3.1726150000000009</v>
      </c>
      <c r="G189" s="117">
        <f t="shared" si="47"/>
        <v>2.6900799999999987</v>
      </c>
      <c r="H189" s="117">
        <f t="shared" si="48"/>
        <v>2.9304999999999994</v>
      </c>
      <c r="I189" s="116">
        <f>IF($B$7=constants!$C$60,G189,IF($B$8=constants!$C$60,C189,E189))</f>
        <v>1.914640000000003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1.9619200000000037</v>
      </c>
      <c r="D190" s="10">
        <f t="shared" si="36"/>
        <v>0.65</v>
      </c>
      <c r="E190" s="117">
        <f t="shared" si="50"/>
        <v>3.1674700000000007</v>
      </c>
      <c r="F190" s="117">
        <f t="shared" si="46"/>
        <v>3.1824700000000008</v>
      </c>
      <c r="G190" s="117">
        <f t="shared" si="47"/>
        <v>2.6727399999999983</v>
      </c>
      <c r="H190" s="117">
        <f t="shared" si="48"/>
        <v>2.9304999999999994</v>
      </c>
      <c r="I190" s="116">
        <f>IF($B$7=constants!$C$60,G190,IF($B$8=constants!$C$60,C190,E190))</f>
        <v>1.9619200000000037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2.0092000000000034</v>
      </c>
      <c r="D191" s="10">
        <f t="shared" si="36"/>
        <v>0.65</v>
      </c>
      <c r="E191" s="117">
        <f t="shared" si="50"/>
        <v>3.1773250000000006</v>
      </c>
      <c r="F191" s="117">
        <f t="shared" si="46"/>
        <v>3.1923250000000007</v>
      </c>
      <c r="G191" s="117">
        <f t="shared" si="47"/>
        <v>2.6553999999999984</v>
      </c>
      <c r="H191" s="117">
        <f t="shared" si="48"/>
        <v>2.9304999999999994</v>
      </c>
      <c r="I191" s="116">
        <f>IF($B$7=constants!$C$60,G191,IF($B$8=constants!$C$60,C191,E191))</f>
        <v>2.0092000000000034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4"/>
        <v>0</v>
      </c>
      <c r="M191" s="126">
        <f t="shared" si="51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5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2.0564800000000032</v>
      </c>
      <c r="D192" s="10">
        <f t="shared" si="36"/>
        <v>0.65</v>
      </c>
      <c r="E192" s="117">
        <f t="shared" si="50"/>
        <v>3.1871800000000006</v>
      </c>
      <c r="F192" s="117">
        <f t="shared" si="46"/>
        <v>3.2021800000000007</v>
      </c>
      <c r="G192" s="117">
        <f t="shared" si="47"/>
        <v>2.6380599999999985</v>
      </c>
      <c r="H192" s="117">
        <f t="shared" si="48"/>
        <v>2.9304999999999994</v>
      </c>
      <c r="I192" s="116">
        <f>IF($B$7=constants!$C$60,G192,IF($B$8=constants!$C$60,C192,E192))</f>
        <v>2.0564800000000032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4"/>
        <v>0</v>
      </c>
      <c r="M192" s="126">
        <f t="shared" si="51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5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2.1037600000000038</v>
      </c>
      <c r="D193" s="10">
        <f t="shared" si="36"/>
        <v>0.65</v>
      </c>
      <c r="E193" s="117">
        <f t="shared" si="50"/>
        <v>3.1970350000000005</v>
      </c>
      <c r="F193" s="117">
        <f t="shared" si="46"/>
        <v>3.2120350000000006</v>
      </c>
      <c r="G193" s="117">
        <f t="shared" si="47"/>
        <v>2.6207199999999986</v>
      </c>
      <c r="H193" s="117">
        <f t="shared" si="48"/>
        <v>2.9304999999999994</v>
      </c>
      <c r="I193" s="116">
        <f>IF($B$7=constants!$C$60,G193,IF($B$8=constants!$C$60,C193,E193))</f>
        <v>2.1037600000000038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4"/>
        <v>0</v>
      </c>
      <c r="M193" s="126">
        <f t="shared" si="51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5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2.1510400000000036</v>
      </c>
      <c r="D194" s="10">
        <f t="shared" si="36"/>
        <v>0.65</v>
      </c>
      <c r="E194" s="117">
        <f t="shared" si="50"/>
        <v>3.2068900000000005</v>
      </c>
      <c r="F194" s="117">
        <f t="shared" si="46"/>
        <v>3.2218900000000006</v>
      </c>
      <c r="G194" s="117">
        <f t="shared" si="47"/>
        <v>2.6033799999999987</v>
      </c>
      <c r="H194" s="117">
        <f t="shared" si="48"/>
        <v>2.9304999999999994</v>
      </c>
      <c r="I194" s="116">
        <f>IF($B$7=constants!$C$60,G194,IF($B$8=constants!$C$60,C194,E194))</f>
        <v>2.1510400000000036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2.1510400000000036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1.9359360000000032</v>
      </c>
      <c r="P194" s="126">
        <f t="shared" si="30"/>
        <v>1.9159360000000032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2.1983200000000034</v>
      </c>
      <c r="D195" s="10">
        <f t="shared" si="36"/>
        <v>0.65</v>
      </c>
      <c r="E195" s="117">
        <f t="shared" si="50"/>
        <v>3.2167450000000004</v>
      </c>
      <c r="F195" s="117">
        <f t="shared" si="46"/>
        <v>3.2317450000000005</v>
      </c>
      <c r="G195" s="117">
        <f t="shared" si="47"/>
        <v>2.5860399999999988</v>
      </c>
      <c r="H195" s="117">
        <f t="shared" si="48"/>
        <v>2.9304999999999994</v>
      </c>
      <c r="I195" s="116">
        <f>IF($B$7=constants!$C$60,G195,IF($B$8=constants!$C$60,C195,E195))</f>
        <v>2.1983200000000034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2.1983200000000034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2.1720816000000034</v>
      </c>
      <c r="P195" s="126">
        <f t="shared" si="30"/>
        <v>2.1520816000000034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2.2456000000000031</v>
      </c>
      <c r="D196" s="10">
        <f t="shared" si="36"/>
        <v>0.65</v>
      </c>
      <c r="E196" s="117">
        <f t="shared" si="50"/>
        <v>3.2266000000000004</v>
      </c>
      <c r="F196" s="117">
        <f t="shared" si="46"/>
        <v>3.2416000000000005</v>
      </c>
      <c r="G196" s="117">
        <f t="shared" si="47"/>
        <v>2.5686999999999989</v>
      </c>
      <c r="H196" s="117">
        <f t="shared" si="48"/>
        <v>2.9304999999999994</v>
      </c>
      <c r="I196" s="116">
        <f>IF($B$7=constants!$C$60,G196,IF($B$8=constants!$C$60,C196,E196))</f>
        <v>2.2456000000000031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2.2456000000000031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2.238248160000003</v>
      </c>
      <c r="P196" s="126">
        <f t="shared" si="30"/>
        <v>2.218248160000003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2.2928800000000038</v>
      </c>
      <c r="D197" s="10">
        <f t="shared" si="36"/>
        <v>0.65</v>
      </c>
      <c r="E197" s="117">
        <f t="shared" si="50"/>
        <v>3.2364550000000003</v>
      </c>
      <c r="F197" s="117">
        <f t="shared" si="46"/>
        <v>3.2514550000000004</v>
      </c>
      <c r="G197" s="117">
        <f t="shared" si="47"/>
        <v>2.5513599999999985</v>
      </c>
      <c r="H197" s="117">
        <f t="shared" si="48"/>
        <v>2.9304999999999994</v>
      </c>
      <c r="I197" s="116">
        <f>IF($B$7=constants!$C$60,G197,IF($B$8=constants!$C$60,C197,E197))</f>
        <v>2.2928800000000038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2.2928800000000038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2.2874168160000039</v>
      </c>
      <c r="P197" s="126">
        <f t="shared" si="30"/>
        <v>2.2674168160000039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2.3401600000000036</v>
      </c>
      <c r="D198" s="10">
        <f t="shared" si="36"/>
        <v>0.65</v>
      </c>
      <c r="E198" s="117">
        <f t="shared" si="50"/>
        <v>3.2463100000000003</v>
      </c>
      <c r="F198" s="117">
        <f t="shared" si="46"/>
        <v>3.2613100000000004</v>
      </c>
      <c r="G198" s="117">
        <f t="shared" si="47"/>
        <v>2.5340199999999986</v>
      </c>
      <c r="H198" s="117">
        <f t="shared" si="48"/>
        <v>2.9304999999999994</v>
      </c>
      <c r="I198" s="116">
        <f>IF($B$7=constants!$C$60,G198,IF($B$8=constants!$C$60,C198,E198))</f>
        <v>2.3401600000000036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2.3401600000000036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2.3348856816000034</v>
      </c>
      <c r="P198" s="126">
        <f t="shared" si="30"/>
        <v>2.3148856816000034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2.3874400000000033</v>
      </c>
      <c r="D199" s="10">
        <f t="shared" si="36"/>
        <v>0.65</v>
      </c>
      <c r="E199" s="117">
        <f t="shared" si="50"/>
        <v>3.2561650000000002</v>
      </c>
      <c r="F199" s="117">
        <f t="shared" si="46"/>
        <v>3.2711650000000003</v>
      </c>
      <c r="G199" s="117">
        <f t="shared" si="47"/>
        <v>2.5166799999999987</v>
      </c>
      <c r="H199" s="117">
        <f t="shared" si="48"/>
        <v>2.9304999999999994</v>
      </c>
      <c r="I199" s="116">
        <f>IF($B$7=constants!$C$60,G199,IF($B$8=constants!$C$60,C199,E199))</f>
        <v>2.3874400000000033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2.3874400000000033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2.3821845681600031</v>
      </c>
      <c r="P199" s="126">
        <f t="shared" si="30"/>
        <v>2.3621845681600031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2.434720000000004</v>
      </c>
      <c r="D200" s="10">
        <f t="shared" si="36"/>
        <v>0.65</v>
      </c>
      <c r="E200" s="117">
        <f t="shared" si="50"/>
        <v>3.2660200000000006</v>
      </c>
      <c r="F200" s="117">
        <f t="shared" si="46"/>
        <v>3.2810200000000007</v>
      </c>
      <c r="G200" s="117">
        <f t="shared" si="47"/>
        <v>2.4993399999999988</v>
      </c>
      <c r="H200" s="117">
        <f t="shared" si="48"/>
        <v>2.9304999999999994</v>
      </c>
      <c r="I200" s="116">
        <f>IF($B$7=constants!$C$60,G200,IF($B$8=constants!$C$60,C200,E200))</f>
        <v>2.434720000000004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2.434720000000004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2.4294664568160038</v>
      </c>
      <c r="P200" s="126">
        <f t="shared" si="30"/>
        <v>2.4094664568160038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2.4819999999999984</v>
      </c>
      <c r="D201" s="10">
        <f t="shared" si="36"/>
        <v>0.65</v>
      </c>
      <c r="E201" s="117">
        <f t="shared" si="50"/>
        <v>3.2758750000000005</v>
      </c>
      <c r="F201" s="117">
        <f t="shared" si="46"/>
        <v>3.2908750000000007</v>
      </c>
      <c r="G201" s="117">
        <f>B201*$H$46+$H$47</f>
        <v>2.4819999999999984</v>
      </c>
      <c r="H201" s="117">
        <f t="shared" si="48"/>
        <v>2.9304999999999994</v>
      </c>
      <c r="I201" s="116">
        <f>IF($B$7=constants!$C$60,G201,IF($B$8=constants!$C$60,C201,E201))</f>
        <v>2.4819999999999984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2.4819999999999984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2.4767466456815992</v>
      </c>
      <c r="P201" s="126">
        <f t="shared" si="30"/>
        <v>2.4567466456815992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2.4673999999999987</v>
      </c>
      <c r="D202" s="117">
        <f>$G$15*$B202+$G$16</f>
        <v>0.67934000000000294</v>
      </c>
      <c r="E202" s="117">
        <f t="shared" si="50"/>
        <v>3.2857300000000005</v>
      </c>
      <c r="F202" s="117">
        <f t="shared" si="46"/>
        <v>3.3007300000000006</v>
      </c>
      <c r="G202" s="117">
        <f t="shared" ref="G202:G225" si="53">B202*$H$46+$H$47</f>
        <v>2.4673999999999987</v>
      </c>
      <c r="H202" s="117">
        <f t="shared" si="48"/>
        <v>2.9304999999999994</v>
      </c>
      <c r="I202" s="116">
        <f>IF($B$7=constants!$C$60,G202,IF($B$8=constants!$C$60,C202,E202))</f>
        <v>2.4673999999999987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2.4673999999999987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2.4683346645681588</v>
      </c>
      <c r="P202" s="126">
        <f t="shared" si="30"/>
        <v>2.4483346645681587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2.4527999999999985</v>
      </c>
      <c r="D203" s="117">
        <f t="shared" ref="D203:D226" si="55">$G$15*$B203+$G$16</f>
        <v>0.70868000000000331</v>
      </c>
      <c r="E203" s="117">
        <f t="shared" si="50"/>
        <v>3.2955850000000009</v>
      </c>
      <c r="F203" s="117">
        <f t="shared" si="46"/>
        <v>3.310585000000001</v>
      </c>
      <c r="G203" s="117">
        <f t="shared" si="53"/>
        <v>2.4527999999999985</v>
      </c>
      <c r="H203" s="117">
        <f t="shared" si="48"/>
        <v>2.9304999999999994</v>
      </c>
      <c r="I203" s="116">
        <f>IF($B$7=constants!$C$60,G203,IF($B$8=constants!$C$60,C203,E203))</f>
        <v>2.4527999999999985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2.4527999999999985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2.4543534664568147</v>
      </c>
      <c r="P203" s="126">
        <f t="shared" si="30"/>
        <v>2.4343534664568147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2.4381999999999984</v>
      </c>
      <c r="D204" s="117">
        <f t="shared" si="55"/>
        <v>0.73802000000000323</v>
      </c>
      <c r="E204" s="117">
        <f t="shared" si="50"/>
        <v>3.3054400000000008</v>
      </c>
      <c r="F204" s="117">
        <f t="shared" si="46"/>
        <v>3.3204400000000009</v>
      </c>
      <c r="G204" s="117">
        <f t="shared" si="53"/>
        <v>2.4381999999999984</v>
      </c>
      <c r="H204" s="117">
        <f t="shared" si="48"/>
        <v>2.9304999999999994</v>
      </c>
      <c r="I204" s="116">
        <f>IF($B$7=constants!$C$60,G204,IF($B$8=constants!$C$60,C204,E204))</f>
        <v>2.4381999999999984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2.4381999999999984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2.43981534664568</v>
      </c>
      <c r="P204" s="126">
        <f t="shared" si="30"/>
        <v>2.41981534664568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2.4235999999999986</v>
      </c>
      <c r="D205" s="117">
        <f t="shared" si="55"/>
        <v>0.76736000000000315</v>
      </c>
      <c r="E205" s="117">
        <f t="shared" si="50"/>
        <v>3.3152950000000008</v>
      </c>
      <c r="F205" s="117">
        <f t="shared" si="46"/>
        <v>3.3302950000000009</v>
      </c>
      <c r="G205" s="117">
        <f t="shared" si="53"/>
        <v>2.4235999999999986</v>
      </c>
      <c r="H205" s="117">
        <f t="shared" si="48"/>
        <v>2.9304999999999994</v>
      </c>
      <c r="I205" s="116">
        <f>IF($B$7=constants!$C$60,G205,IF($B$8=constants!$C$60,C205,E205))</f>
        <v>2.4235999999999986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2.4235999999999986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2.4252215346645669</v>
      </c>
      <c r="P205" s="126">
        <f t="shared" ref="P205:P268" si="57">IF(O205=0,0,O205-$P$72)</f>
        <v>2.4052215346645669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2.4089999999999985</v>
      </c>
      <c r="D206" s="117">
        <f t="shared" si="55"/>
        <v>0.79670000000000307</v>
      </c>
      <c r="E206" s="117">
        <f t="shared" si="50"/>
        <v>3.3251500000000007</v>
      </c>
      <c r="F206" s="117">
        <f t="shared" si="46"/>
        <v>3.3401500000000008</v>
      </c>
      <c r="G206" s="117">
        <f t="shared" si="53"/>
        <v>2.4089999999999985</v>
      </c>
      <c r="H206" s="117">
        <f t="shared" si="48"/>
        <v>2.9304999999999994</v>
      </c>
      <c r="I206" s="116">
        <f>IF($B$7=constants!$C$60,G206,IF($B$8=constants!$C$60,C206,E206))</f>
        <v>2.4089999999999985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2.4089999999999985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2.4106221534664551</v>
      </c>
      <c r="P206" s="126">
        <f t="shared" si="57"/>
        <v>2.3906221534664551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2.3943999999999983</v>
      </c>
      <c r="D207" s="117">
        <f t="shared" si="55"/>
        <v>0.82604000000000299</v>
      </c>
      <c r="E207" s="117">
        <f t="shared" si="50"/>
        <v>3.3350050000000007</v>
      </c>
      <c r="F207" s="117">
        <f t="shared" si="46"/>
        <v>3.3500050000000008</v>
      </c>
      <c r="G207" s="117">
        <f t="shared" si="53"/>
        <v>2.3943999999999983</v>
      </c>
      <c r="H207" s="117">
        <f t="shared" si="48"/>
        <v>2.9304999999999994</v>
      </c>
      <c r="I207" s="116">
        <f>IF($B$7=constants!$C$60,G207,IF($B$8=constants!$C$60,C207,E207))</f>
        <v>2.3943999999999983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2.3943999999999983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2.3960222153466439</v>
      </c>
      <c r="P207" s="126">
        <f t="shared" si="57"/>
        <v>2.3760222153466439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2.3797999999999986</v>
      </c>
      <c r="D208" s="117">
        <f t="shared" si="55"/>
        <v>0.85538000000000336</v>
      </c>
      <c r="E208" s="117">
        <f t="shared" si="50"/>
        <v>3.3448600000000006</v>
      </c>
      <c r="F208" s="117">
        <f t="shared" si="46"/>
        <v>3.3598600000000007</v>
      </c>
      <c r="G208" s="117">
        <f t="shared" si="53"/>
        <v>2.3797999999999986</v>
      </c>
      <c r="H208" s="117">
        <f t="shared" si="48"/>
        <v>2.9304999999999994</v>
      </c>
      <c r="I208" s="116">
        <f>IF($B$7=constants!$C$60,G208,IF($B$8=constants!$C$60,C208,E208))</f>
        <v>2.3797999999999986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2.3797999999999986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2.3814222215346632</v>
      </c>
      <c r="P208" s="126">
        <f t="shared" si="57"/>
        <v>2.3614222215346632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2.3651999999999984</v>
      </c>
      <c r="D209" s="117">
        <f t="shared" si="55"/>
        <v>0.88472000000000328</v>
      </c>
      <c r="E209" s="117">
        <f t="shared" si="50"/>
        <v>3.3547150000000006</v>
      </c>
      <c r="F209" s="117">
        <f t="shared" ref="F209:F240" si="68">E209+$F$74</f>
        <v>3.3697150000000007</v>
      </c>
      <c r="G209" s="117">
        <f t="shared" si="53"/>
        <v>2.3651999999999984</v>
      </c>
      <c r="H209" s="117">
        <f t="shared" si="48"/>
        <v>2.9304999999999994</v>
      </c>
      <c r="I209" s="116">
        <f>IF($B$7=constants!$C$60,G209,IF($B$8=constants!$C$60,C209,E209))</f>
        <v>2.3651999999999984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2.3651999999999984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2.3668222221534649</v>
      </c>
      <c r="P209" s="126">
        <f t="shared" si="57"/>
        <v>2.3468222221534649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2.3505999999999982</v>
      </c>
      <c r="D210" s="117">
        <f t="shared" si="55"/>
        <v>0.9140600000000032</v>
      </c>
      <c r="E210" s="117">
        <f t="shared" si="50"/>
        <v>3.3645700000000005</v>
      </c>
      <c r="F210" s="117">
        <f t="shared" si="68"/>
        <v>3.3795700000000006</v>
      </c>
      <c r="G210" s="117">
        <f t="shared" si="53"/>
        <v>2.3505999999999982</v>
      </c>
      <c r="H210" s="117">
        <f t="shared" si="48"/>
        <v>2.9304999999999994</v>
      </c>
      <c r="I210" s="116">
        <f>IF($B$7=constants!$C$60,G210,IF($B$8=constants!$C$60,C210,E210))</f>
        <v>2.3505999999999982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2.3505999999999982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2.352222222215345</v>
      </c>
      <c r="P210" s="126">
        <f t="shared" si="57"/>
        <v>2.332222222215345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2.3359999999999985</v>
      </c>
      <c r="D211" s="117">
        <f t="shared" si="55"/>
        <v>0.94340000000000312</v>
      </c>
      <c r="E211" s="117">
        <f t="shared" si="50"/>
        <v>3.3744250000000005</v>
      </c>
      <c r="F211" s="117">
        <f t="shared" si="68"/>
        <v>3.3894250000000006</v>
      </c>
      <c r="G211" s="117">
        <f t="shared" si="53"/>
        <v>2.3359999999999985</v>
      </c>
      <c r="H211" s="117">
        <f t="shared" si="48"/>
        <v>2.9304999999999994</v>
      </c>
      <c r="I211" s="116">
        <f>IF($B$7=constants!$C$60,G211,IF($B$8=constants!$C$60,C211,E211))</f>
        <v>2.3359999999999985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2.3359999999999985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2.3376222222215333</v>
      </c>
      <c r="P211" s="126">
        <f t="shared" si="57"/>
        <v>2.3176222222215332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2.3213999999999984</v>
      </c>
      <c r="D212" s="117">
        <f t="shared" si="55"/>
        <v>0.97274000000000349</v>
      </c>
      <c r="E212" s="117">
        <f t="shared" si="50"/>
        <v>3.3842800000000004</v>
      </c>
      <c r="F212" s="117">
        <f t="shared" si="68"/>
        <v>3.3992800000000005</v>
      </c>
      <c r="G212" s="117">
        <f t="shared" si="53"/>
        <v>2.3213999999999984</v>
      </c>
      <c r="H212" s="117">
        <f t="shared" si="48"/>
        <v>2.9304999999999994</v>
      </c>
      <c r="I212" s="116">
        <f>IF($B$7=constants!$C$60,G212,IF($B$8=constants!$C$60,C212,E212))</f>
        <v>2.3213999999999984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2.3213999999999984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2.3230222222221517</v>
      </c>
      <c r="P212" s="126">
        <f t="shared" si="57"/>
        <v>2.3030222222221517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2.3067999999999986</v>
      </c>
      <c r="D213" s="117">
        <f t="shared" si="55"/>
        <v>1.002080000000003</v>
      </c>
      <c r="E213" s="117">
        <f t="shared" si="50"/>
        <v>3.3941350000000003</v>
      </c>
      <c r="F213" s="117">
        <f t="shared" si="68"/>
        <v>3.4091350000000005</v>
      </c>
      <c r="G213" s="117">
        <f t="shared" si="53"/>
        <v>2.3067999999999986</v>
      </c>
      <c r="H213" s="117">
        <f t="shared" si="48"/>
        <v>2.9304999999999994</v>
      </c>
      <c r="I213" s="116">
        <f>IF($B$7=constants!$C$60,G213,IF($B$8=constants!$C$60,C213,E213))</f>
        <v>2.3067999999999986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2.3067999999999986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2.3084222222222142</v>
      </c>
      <c r="P213" s="126">
        <f t="shared" si="57"/>
        <v>2.2884222222222141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2.2921999999999985</v>
      </c>
      <c r="D214" s="117">
        <f t="shared" si="55"/>
        <v>1.0314200000000033</v>
      </c>
      <c r="E214" s="117">
        <f t="shared" si="50"/>
        <v>3.4039900000000007</v>
      </c>
      <c r="F214" s="117">
        <f t="shared" si="68"/>
        <v>3.4189900000000009</v>
      </c>
      <c r="G214" s="117">
        <f t="shared" si="53"/>
        <v>2.2921999999999985</v>
      </c>
      <c r="H214" s="117">
        <f t="shared" si="48"/>
        <v>2.9304999999999994</v>
      </c>
      <c r="I214" s="116">
        <f>IF($B$7=constants!$C$60,G214,IF($B$8=constants!$C$60,C214,E214))</f>
        <v>2.2921999999999985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2.2921999999999985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2.2938222222222202</v>
      </c>
      <c r="P214" s="126">
        <f t="shared" si="57"/>
        <v>2.2738222222222202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2.2775999999999983</v>
      </c>
      <c r="D215" s="117">
        <f t="shared" si="55"/>
        <v>1.0607600000000037</v>
      </c>
      <c r="E215" s="117">
        <f t="shared" si="50"/>
        <v>3.4138450000000007</v>
      </c>
      <c r="F215" s="117">
        <f t="shared" si="68"/>
        <v>3.4288450000000008</v>
      </c>
      <c r="G215" s="117">
        <f t="shared" si="53"/>
        <v>2.2775999999999983</v>
      </c>
      <c r="H215" s="117">
        <f t="shared" si="48"/>
        <v>2.9304999999999994</v>
      </c>
      <c r="I215" s="116">
        <f>IF($B$7=constants!$C$60,G215,IF($B$8=constants!$C$60,C215,E215))</f>
        <v>2.2775999999999983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2.2775999999999983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2.2792222222222205</v>
      </c>
      <c r="P215" s="126">
        <f t="shared" si="57"/>
        <v>2.2592222222222205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2.2629999999999986</v>
      </c>
      <c r="D216" s="117">
        <f t="shared" si="55"/>
        <v>1.0901000000000032</v>
      </c>
      <c r="E216" s="117">
        <f t="shared" si="50"/>
        <v>3.4237000000000006</v>
      </c>
      <c r="F216" s="117">
        <f t="shared" si="68"/>
        <v>3.4387000000000008</v>
      </c>
      <c r="G216" s="117">
        <f t="shared" si="53"/>
        <v>2.2629999999999986</v>
      </c>
      <c r="H216" s="117">
        <f t="shared" si="48"/>
        <v>2.9304999999999994</v>
      </c>
      <c r="I216" s="116">
        <f>IF($B$7=constants!$C$60,G216,IF($B$8=constants!$C$60,C216,E216))</f>
        <v>2.2629999999999986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2.2629999999999986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2.2646222222222208</v>
      </c>
      <c r="P216" s="126">
        <f t="shared" si="57"/>
        <v>2.2446222222222207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2.2483999999999984</v>
      </c>
      <c r="D217" s="117">
        <f t="shared" si="55"/>
        <v>1.1194400000000035</v>
      </c>
      <c r="E217" s="117">
        <f t="shared" si="50"/>
        <v>3.4335550000000006</v>
      </c>
      <c r="F217" s="117">
        <f t="shared" si="68"/>
        <v>3.4485550000000007</v>
      </c>
      <c r="G217" s="117">
        <f t="shared" si="53"/>
        <v>2.2483999999999984</v>
      </c>
      <c r="H217" s="117">
        <f t="shared" si="48"/>
        <v>2.9304999999999994</v>
      </c>
      <c r="I217" s="116">
        <f>IF($B$7=constants!$C$60,G217,IF($B$8=constants!$C$60,C217,E217))</f>
        <v>2.2483999999999984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2.2483999999999984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2.2500222222222206</v>
      </c>
      <c r="P217" s="126">
        <f t="shared" si="57"/>
        <v>2.2300222222222206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2.2337999999999982</v>
      </c>
      <c r="D218" s="117">
        <f t="shared" si="55"/>
        <v>1.1487800000000039</v>
      </c>
      <c r="E218" s="117">
        <f t="shared" si="50"/>
        <v>3.443410000000001</v>
      </c>
      <c r="F218" s="117">
        <f t="shared" si="68"/>
        <v>3.4584100000000011</v>
      </c>
      <c r="G218" s="117">
        <f t="shared" si="53"/>
        <v>2.2337999999999982</v>
      </c>
      <c r="H218" s="117">
        <f t="shared" si="48"/>
        <v>2.9304999999999994</v>
      </c>
      <c r="I218" s="116">
        <f>IF($B$7=constants!$C$60,G218,IF($B$8=constants!$C$60,C218,E218))</f>
        <v>2.2337999999999982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2.2337999999999982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2.2354222222222204</v>
      </c>
      <c r="P218" s="126">
        <f t="shared" si="57"/>
        <v>2.2154222222222204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2.2191999999999985</v>
      </c>
      <c r="D219" s="117">
        <f t="shared" si="55"/>
        <v>1.1781200000000034</v>
      </c>
      <c r="E219" s="117">
        <f t="shared" si="50"/>
        <v>3.4532650000000009</v>
      </c>
      <c r="F219" s="117">
        <f t="shared" si="68"/>
        <v>3.468265000000001</v>
      </c>
      <c r="G219" s="117">
        <f t="shared" si="53"/>
        <v>2.2191999999999985</v>
      </c>
      <c r="H219" s="117">
        <f t="shared" si="48"/>
        <v>2.9304999999999994</v>
      </c>
      <c r="I219" s="116">
        <f>IF($B$7=constants!$C$60,G219,IF($B$8=constants!$C$60,C219,E219))</f>
        <v>2.2191999999999985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2.2191999999999985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2.2208222222222207</v>
      </c>
      <c r="P219" s="126">
        <f t="shared" si="57"/>
        <v>2.2008222222222207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2.2045999999999983</v>
      </c>
      <c r="D220" s="117">
        <f t="shared" si="55"/>
        <v>1.2074600000000038</v>
      </c>
      <c r="E220" s="117">
        <f t="shared" si="50"/>
        <v>3.4631200000000009</v>
      </c>
      <c r="F220" s="117">
        <f t="shared" si="68"/>
        <v>3.478120000000001</v>
      </c>
      <c r="G220" s="117">
        <f t="shared" si="53"/>
        <v>2.2045999999999983</v>
      </c>
      <c r="H220" s="117">
        <f t="shared" si="48"/>
        <v>2.9304999999999994</v>
      </c>
      <c r="I220" s="116">
        <f>IF($B$7=constants!$C$60,G220,IF($B$8=constants!$C$60,C220,E220))</f>
        <v>2.2045999999999983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2.2045999999999983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2.2062222222222205</v>
      </c>
      <c r="P220" s="126">
        <f t="shared" si="57"/>
        <v>2.1862222222222205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2.1899999999999982</v>
      </c>
      <c r="D221" s="117">
        <f t="shared" si="55"/>
        <v>1.2368000000000032</v>
      </c>
      <c r="E221" s="117">
        <f t="shared" si="50"/>
        <v>3.4729750000000008</v>
      </c>
      <c r="F221" s="117">
        <f t="shared" si="68"/>
        <v>3.4879750000000009</v>
      </c>
      <c r="G221" s="117">
        <f t="shared" si="53"/>
        <v>2.1899999999999982</v>
      </c>
      <c r="H221" s="117">
        <f t="shared" si="48"/>
        <v>2.9304999999999994</v>
      </c>
      <c r="I221" s="116">
        <f>IF($B$7=constants!$C$60,G221,IF($B$8=constants!$C$60,C221,E221))</f>
        <v>2.1899999999999982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2.1899999999999982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2.1916222222222204</v>
      </c>
      <c r="P221" s="126">
        <f t="shared" si="57"/>
        <v>2.1716222222222203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2.1753999999999984</v>
      </c>
      <c r="D222" s="117">
        <f t="shared" si="55"/>
        <v>1.2661400000000036</v>
      </c>
      <c r="E222" s="117">
        <f t="shared" si="50"/>
        <v>3.4828300000000008</v>
      </c>
      <c r="F222" s="117">
        <f t="shared" si="68"/>
        <v>3.4978300000000009</v>
      </c>
      <c r="G222" s="117">
        <f t="shared" si="53"/>
        <v>2.1753999999999984</v>
      </c>
      <c r="H222" s="117">
        <f t="shared" si="48"/>
        <v>2.9304999999999994</v>
      </c>
      <c r="I222" s="116">
        <f>IF($B$7=constants!$C$60,G222,IF($B$8=constants!$C$60,C222,E222))</f>
        <v>2.1753999999999984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2.1753999999999984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2.1770222222222206</v>
      </c>
      <c r="P222" s="126">
        <f t="shared" si="57"/>
        <v>2.1570222222222206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2.1607999999999983</v>
      </c>
      <c r="D223" s="117">
        <f t="shared" si="55"/>
        <v>1.295480000000004</v>
      </c>
      <c r="E223" s="117">
        <f t="shared" si="50"/>
        <v>3.4926850000000007</v>
      </c>
      <c r="F223" s="117">
        <f t="shared" si="68"/>
        <v>3.5076850000000008</v>
      </c>
      <c r="G223" s="117">
        <f t="shared" si="53"/>
        <v>2.1607999999999983</v>
      </c>
      <c r="H223" s="117">
        <f t="shared" si="48"/>
        <v>2.9304999999999994</v>
      </c>
      <c r="I223" s="116">
        <f>IF($B$7=constants!$C$60,G223,IF($B$8=constants!$C$60,C223,E223))</f>
        <v>2.1607999999999983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2.1607999999999983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2.1624222222222205</v>
      </c>
      <c r="P223" s="126">
        <f t="shared" si="57"/>
        <v>2.1424222222222205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2.1461999999999986</v>
      </c>
      <c r="D224" s="117">
        <f t="shared" si="55"/>
        <v>1.3248200000000034</v>
      </c>
      <c r="E224" s="117">
        <f t="shared" si="50"/>
        <v>3.5025400000000007</v>
      </c>
      <c r="F224" s="117">
        <f t="shared" si="68"/>
        <v>3.5175400000000008</v>
      </c>
      <c r="G224" s="117">
        <f t="shared" si="53"/>
        <v>2.1461999999999986</v>
      </c>
      <c r="H224" s="117">
        <f t="shared" si="48"/>
        <v>2.9304999999999994</v>
      </c>
      <c r="I224" s="116">
        <f>IF($B$7=constants!$C$60,G224,IF($B$8=constants!$C$60,C224,E224))</f>
        <v>2.1461999999999986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2.1461999999999986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2.1478222222222207</v>
      </c>
      <c r="P224" s="126">
        <f t="shared" si="57"/>
        <v>2.1278222222222207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2.1315999999999984</v>
      </c>
      <c r="D225" s="117">
        <f t="shared" si="55"/>
        <v>1.3541600000000038</v>
      </c>
      <c r="E225" s="117">
        <f t="shared" si="50"/>
        <v>3.5123950000000006</v>
      </c>
      <c r="F225" s="117">
        <f t="shared" si="68"/>
        <v>3.5273950000000007</v>
      </c>
      <c r="G225" s="117">
        <f t="shared" si="53"/>
        <v>2.1315999999999984</v>
      </c>
      <c r="H225" s="117">
        <f t="shared" si="48"/>
        <v>2.9304999999999994</v>
      </c>
      <c r="I225" s="116">
        <f>IF($B$7=constants!$C$60,G225,IF($B$8=constants!$C$60,C225,E225))</f>
        <v>2.1315999999999984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2.1315999999999984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2.1332222222222206</v>
      </c>
      <c r="P225" s="126">
        <f t="shared" si="57"/>
        <v>2.1132222222222206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2.1170000000000018</v>
      </c>
      <c r="D226" s="117">
        <f t="shared" si="55"/>
        <v>1.3835000000000033</v>
      </c>
      <c r="E226" s="117">
        <f t="shared" si="50"/>
        <v>3.5222500000000005</v>
      </c>
      <c r="F226" s="117">
        <f t="shared" si="68"/>
        <v>3.5372500000000007</v>
      </c>
      <c r="G226" s="117">
        <f>B226*$H$51+$H$52</f>
        <v>2.1170000000000018</v>
      </c>
      <c r="H226" s="117">
        <f t="shared" si="48"/>
        <v>2.9304999999999994</v>
      </c>
      <c r="I226" s="116">
        <f>IF($B$7=constants!$C$60,G226,IF($B$8=constants!$C$60,C226,E226))</f>
        <v>2.1170000000000018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2.1170000000000018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2.1186222222222235</v>
      </c>
      <c r="P226" s="126">
        <f t="shared" si="57"/>
        <v>2.0986222222222235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2.1316000000000015</v>
      </c>
      <c r="D227" s="117">
        <f>D226</f>
        <v>1.3835000000000033</v>
      </c>
      <c r="E227" s="117">
        <f t="shared" si="50"/>
        <v>3.5321050000000005</v>
      </c>
      <c r="F227" s="117">
        <f t="shared" si="68"/>
        <v>3.5471050000000006</v>
      </c>
      <c r="G227" s="117">
        <f t="shared" ref="G227:G250" si="70">B227*$H$51+$H$52</f>
        <v>2.1316000000000015</v>
      </c>
      <c r="H227" s="117">
        <f t="shared" si="48"/>
        <v>2.9304999999999994</v>
      </c>
      <c r="I227" s="116">
        <f>IF($B$7=constants!$C$60,G227,IF($B$8=constants!$C$60,C227,E227))</f>
        <v>2.1316000000000015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2.1316000000000015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2.1303022222222237</v>
      </c>
      <c r="P227" s="126">
        <f t="shared" si="57"/>
        <v>2.1103022222222236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2.1462000000000017</v>
      </c>
      <c r="D228" s="117">
        <f t="shared" ref="D228:D250" si="71">D227</f>
        <v>1.3835000000000033</v>
      </c>
      <c r="E228" s="117">
        <f t="shared" si="50"/>
        <v>3.5419600000000004</v>
      </c>
      <c r="F228" s="117">
        <f t="shared" si="68"/>
        <v>3.5569600000000006</v>
      </c>
      <c r="G228" s="117">
        <f t="shared" si="70"/>
        <v>2.1462000000000017</v>
      </c>
      <c r="H228" s="117">
        <f t="shared" si="48"/>
        <v>2.9304999999999994</v>
      </c>
      <c r="I228" s="116">
        <f>IF($B$7=constants!$C$60,G228,IF($B$8=constants!$C$60,C228,E228))</f>
        <v>2.1462000000000017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2.1462000000000017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2.1446102222222239</v>
      </c>
      <c r="P228" s="126">
        <f t="shared" si="57"/>
        <v>2.1246102222222238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2.1608000000000018</v>
      </c>
      <c r="D229" s="117">
        <f t="shared" si="71"/>
        <v>1.3835000000000033</v>
      </c>
      <c r="E229" s="117">
        <f t="shared" si="50"/>
        <v>3.5518150000000008</v>
      </c>
      <c r="F229" s="117">
        <f t="shared" si="68"/>
        <v>3.566815000000001</v>
      </c>
      <c r="G229" s="117">
        <f t="shared" si="70"/>
        <v>2.1608000000000018</v>
      </c>
      <c r="H229" s="117">
        <f t="shared" si="48"/>
        <v>2.9304999999999994</v>
      </c>
      <c r="I229" s="116">
        <f>IF($B$7=constants!$C$60,G229,IF($B$8=constants!$C$60,C229,E229))</f>
        <v>2.1608000000000018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2.1608000000000018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2.1591810222222239</v>
      </c>
      <c r="P229" s="126">
        <f t="shared" si="57"/>
        <v>2.1391810222222238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2.1754000000000016</v>
      </c>
      <c r="D230" s="117">
        <f t="shared" si="71"/>
        <v>1.3835000000000033</v>
      </c>
      <c r="E230" s="117">
        <f t="shared" si="50"/>
        <v>3.5616700000000008</v>
      </c>
      <c r="F230" s="117">
        <f t="shared" si="68"/>
        <v>3.5766700000000009</v>
      </c>
      <c r="G230" s="117">
        <f t="shared" si="70"/>
        <v>2.1754000000000016</v>
      </c>
      <c r="H230" s="117">
        <f t="shared" si="48"/>
        <v>2.9304999999999994</v>
      </c>
      <c r="I230" s="116">
        <f>IF($B$7=constants!$C$60,G230,IF($B$8=constants!$C$60,C230,E230))</f>
        <v>2.1754000000000016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2.1754000000000016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2.173778102222224</v>
      </c>
      <c r="P230" s="126">
        <f t="shared" si="57"/>
        <v>2.153778102222224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2.1900000000000017</v>
      </c>
      <c r="D231" s="117">
        <f t="shared" si="71"/>
        <v>1.3835000000000033</v>
      </c>
      <c r="E231" s="117">
        <f t="shared" si="50"/>
        <v>3.5715250000000007</v>
      </c>
      <c r="F231" s="117">
        <f t="shared" si="68"/>
        <v>3.5865250000000009</v>
      </c>
      <c r="G231" s="117">
        <f t="shared" si="70"/>
        <v>2.1900000000000017</v>
      </c>
      <c r="H231" s="117">
        <f t="shared" si="48"/>
        <v>2.9304999999999994</v>
      </c>
      <c r="I231" s="116">
        <f>IF($B$7=constants!$C$60,G231,IF($B$8=constants!$C$60,C231,E231))</f>
        <v>2.1900000000000017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2.1900000000000017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2.188377810222224</v>
      </c>
      <c r="P231" s="126">
        <f t="shared" si="57"/>
        <v>2.168377810222224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2.2046000000000014</v>
      </c>
      <c r="D232" s="117">
        <f t="shared" si="71"/>
        <v>1.3835000000000033</v>
      </c>
      <c r="E232" s="117">
        <f t="shared" si="50"/>
        <v>3.5813800000000011</v>
      </c>
      <c r="F232" s="117">
        <f t="shared" si="68"/>
        <v>3.5963800000000012</v>
      </c>
      <c r="G232" s="117">
        <f t="shared" si="70"/>
        <v>2.2046000000000014</v>
      </c>
      <c r="H232" s="117">
        <f t="shared" si="48"/>
        <v>2.9304999999999994</v>
      </c>
      <c r="I232" s="116">
        <f>IF($B$7=constants!$C$60,G232,IF($B$8=constants!$C$60,C232,E232))</f>
        <v>2.2046000000000014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2.2046000000000014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2.2029777810222235</v>
      </c>
      <c r="P232" s="126">
        <f t="shared" si="57"/>
        <v>2.1829777810222235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2.2192000000000016</v>
      </c>
      <c r="D233" s="117">
        <f t="shared" si="71"/>
        <v>1.3835000000000033</v>
      </c>
      <c r="E233" s="117">
        <f t="shared" si="50"/>
        <v>3.5912350000000011</v>
      </c>
      <c r="F233" s="117">
        <f t="shared" si="68"/>
        <v>3.6062350000000012</v>
      </c>
      <c r="G233" s="117">
        <f t="shared" si="70"/>
        <v>2.2192000000000016</v>
      </c>
      <c r="H233" s="117">
        <f t="shared" si="48"/>
        <v>2.9304999999999994</v>
      </c>
      <c r="I233" s="116">
        <f>IF($B$7=constants!$C$60,G233,IF($B$8=constants!$C$60,C233,E233))</f>
        <v>2.2192000000000016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2.2192000000000016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2.2175777781022239</v>
      </c>
      <c r="P233" s="126">
        <f t="shared" si="57"/>
        <v>2.1975777781022239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2.2338000000000018</v>
      </c>
      <c r="D234" s="117">
        <f t="shared" si="71"/>
        <v>1.3835000000000033</v>
      </c>
      <c r="E234" s="117">
        <f t="shared" si="50"/>
        <v>3.601090000000001</v>
      </c>
      <c r="F234" s="117">
        <f t="shared" si="68"/>
        <v>3.6160900000000011</v>
      </c>
      <c r="G234" s="117">
        <f t="shared" si="70"/>
        <v>2.2338000000000018</v>
      </c>
      <c r="H234" s="117">
        <f t="shared" si="48"/>
        <v>2.9304999999999994</v>
      </c>
      <c r="I234" s="116">
        <f>IF($B$7=constants!$C$60,G234,IF($B$8=constants!$C$60,C234,E234))</f>
        <v>2.2338000000000018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2.2338000000000018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2.2321777778102239</v>
      </c>
      <c r="P234" s="126">
        <f t="shared" si="57"/>
        <v>2.2121777778102238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2.2484000000000015</v>
      </c>
      <c r="D235" s="117">
        <f t="shared" si="71"/>
        <v>1.3835000000000033</v>
      </c>
      <c r="E235" s="117">
        <f t="shared" si="50"/>
        <v>3.610945000000001</v>
      </c>
      <c r="F235" s="117">
        <f t="shared" si="68"/>
        <v>3.6259450000000011</v>
      </c>
      <c r="G235" s="117">
        <f t="shared" si="70"/>
        <v>2.2484000000000015</v>
      </c>
      <c r="H235" s="117">
        <f t="shared" si="48"/>
        <v>2.9304999999999994</v>
      </c>
      <c r="I235" s="116">
        <f>IF($B$7=constants!$C$60,G235,IF($B$8=constants!$C$60,C235,E235))</f>
        <v>2.2484000000000015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2.2484000000000015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2.2467777777810238</v>
      </c>
      <c r="P235" s="126">
        <f t="shared" si="57"/>
        <v>2.2267777777810238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2.2630000000000017</v>
      </c>
      <c r="D236" s="117">
        <f t="shared" si="71"/>
        <v>1.3835000000000033</v>
      </c>
      <c r="E236" s="117">
        <f t="shared" si="50"/>
        <v>3.6208000000000009</v>
      </c>
      <c r="F236" s="117">
        <f t="shared" si="68"/>
        <v>3.635800000000001</v>
      </c>
      <c r="G236" s="117">
        <f t="shared" si="70"/>
        <v>2.2630000000000017</v>
      </c>
      <c r="H236" s="117">
        <f t="shared" si="48"/>
        <v>2.9304999999999994</v>
      </c>
      <c r="I236" s="116">
        <f>IF($B$7=constants!$C$60,G236,IF($B$8=constants!$C$60,C236,E236))</f>
        <v>2.2630000000000017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2.2630000000000017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2.2613777777781037</v>
      </c>
      <c r="P236" s="126">
        <f t="shared" si="57"/>
        <v>2.2413777777781037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2.2776000000000018</v>
      </c>
      <c r="D237" s="117">
        <f t="shared" si="71"/>
        <v>1.3835000000000033</v>
      </c>
      <c r="E237" s="117">
        <f t="shared" si="50"/>
        <v>3.6306550000000009</v>
      </c>
      <c r="F237" s="117">
        <f t="shared" si="68"/>
        <v>3.645655000000001</v>
      </c>
      <c r="G237" s="117">
        <f t="shared" si="70"/>
        <v>2.2776000000000018</v>
      </c>
      <c r="H237" s="117">
        <f t="shared" si="48"/>
        <v>2.9304999999999994</v>
      </c>
      <c r="I237" s="116">
        <f>IF($B$7=constants!$C$60,G237,IF($B$8=constants!$C$60,C237,E237))</f>
        <v>2.2776000000000018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2.2776000000000018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2.2759777777778121</v>
      </c>
      <c r="P237" s="126">
        <f t="shared" si="57"/>
        <v>2.2559777777778121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2.2922000000000016</v>
      </c>
      <c r="D238" s="117">
        <f t="shared" si="71"/>
        <v>1.3835000000000033</v>
      </c>
      <c r="E238" s="117">
        <f t="shared" si="50"/>
        <v>3.6405100000000008</v>
      </c>
      <c r="F238" s="117">
        <f t="shared" si="68"/>
        <v>3.6555100000000009</v>
      </c>
      <c r="G238" s="117">
        <f t="shared" si="70"/>
        <v>2.2922000000000016</v>
      </c>
      <c r="H238" s="117">
        <f t="shared" si="48"/>
        <v>2.9304999999999994</v>
      </c>
      <c r="I238" s="116">
        <f>IF($B$7=constants!$C$60,G238,IF($B$8=constants!$C$60,C238,E238))</f>
        <v>2.2922000000000016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2.2922000000000016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2.2905777777777825</v>
      </c>
      <c r="P238" s="126">
        <f t="shared" si="57"/>
        <v>2.2705777777777825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2.3068000000000017</v>
      </c>
      <c r="D239" s="117">
        <f t="shared" si="71"/>
        <v>1.3835000000000033</v>
      </c>
      <c r="E239" s="117">
        <f t="shared" si="50"/>
        <v>3.6503650000000007</v>
      </c>
      <c r="F239" s="117">
        <f t="shared" si="68"/>
        <v>3.6653650000000009</v>
      </c>
      <c r="G239" s="117">
        <f t="shared" si="70"/>
        <v>2.3068000000000017</v>
      </c>
      <c r="H239" s="117">
        <f t="shared" si="48"/>
        <v>2.9304999999999994</v>
      </c>
      <c r="I239" s="116">
        <f>IF($B$7=constants!$C$60,G239,IF($B$8=constants!$C$60,C239,E239))</f>
        <v>2.3068000000000017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2.3068000000000017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2.30517777777778</v>
      </c>
      <c r="P239" s="126">
        <f t="shared" si="57"/>
        <v>2.28517777777778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2.3214000000000015</v>
      </c>
      <c r="D240" s="117">
        <f t="shared" si="71"/>
        <v>1.3835000000000033</v>
      </c>
      <c r="E240" s="117">
        <f t="shared" si="50"/>
        <v>3.6602200000000007</v>
      </c>
      <c r="F240" s="117">
        <f t="shared" si="68"/>
        <v>3.6752200000000008</v>
      </c>
      <c r="G240" s="117">
        <f t="shared" si="70"/>
        <v>2.3214000000000015</v>
      </c>
      <c r="H240" s="117">
        <f t="shared" si="48"/>
        <v>2.9304999999999994</v>
      </c>
      <c r="I240" s="116">
        <f>IF($B$7=constants!$C$60,G240,IF($B$8=constants!$C$60,C240,E240))</f>
        <v>2.3214000000000015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2.3214000000000015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2.3197777777777793</v>
      </c>
      <c r="P240" s="126">
        <f t="shared" si="57"/>
        <v>2.2997777777777793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2.3360000000000016</v>
      </c>
      <c r="D241" s="117">
        <f t="shared" si="71"/>
        <v>1.3835000000000033</v>
      </c>
      <c r="E241" s="117">
        <f t="shared" si="50"/>
        <v>3.6700750000000006</v>
      </c>
      <c r="F241" s="117">
        <f t="shared" ref="F241:F272" si="75">E241+$F$74</f>
        <v>3.6850750000000008</v>
      </c>
      <c r="G241" s="117">
        <f t="shared" si="70"/>
        <v>2.3360000000000016</v>
      </c>
      <c r="H241" s="117">
        <f t="shared" ref="H241:H275" si="76">H240</f>
        <v>2.9304999999999994</v>
      </c>
      <c r="I241" s="116">
        <f>IF($B$7=constants!$C$60,G241,IF($B$8=constants!$C$60,C241,E241))</f>
        <v>2.3360000000000016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2.3360000000000016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2.3343777777777794</v>
      </c>
      <c r="P241" s="126">
        <f t="shared" si="57"/>
        <v>2.3143777777777794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2.3506000000000018</v>
      </c>
      <c r="D242" s="117">
        <f t="shared" si="71"/>
        <v>1.3835000000000033</v>
      </c>
      <c r="E242" s="117">
        <f t="shared" ref="E242:E275" si="77">$K$11*$B242+$K$12</f>
        <v>3.6799300000000006</v>
      </c>
      <c r="F242" s="117">
        <f t="shared" si="75"/>
        <v>3.6949300000000007</v>
      </c>
      <c r="G242" s="117">
        <f t="shared" si="70"/>
        <v>2.3506000000000018</v>
      </c>
      <c r="H242" s="117">
        <f t="shared" si="76"/>
        <v>2.9304999999999994</v>
      </c>
      <c r="I242" s="116">
        <f>IF($B$7=constants!$C$60,G242,IF($B$8=constants!$C$60,C242,E242))</f>
        <v>2.3506000000000018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2.3506000000000018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2.3489777777777796</v>
      </c>
      <c r="P242" s="126">
        <f t="shared" si="57"/>
        <v>2.3289777777777796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2.3652000000000015</v>
      </c>
      <c r="D243" s="117">
        <f t="shared" si="71"/>
        <v>1.3835000000000033</v>
      </c>
      <c r="E243" s="117">
        <f t="shared" si="77"/>
        <v>3.689785000000001</v>
      </c>
      <c r="F243" s="117">
        <f t="shared" si="75"/>
        <v>3.7047850000000011</v>
      </c>
      <c r="G243" s="117">
        <f t="shared" si="70"/>
        <v>2.3652000000000015</v>
      </c>
      <c r="H243" s="117">
        <f t="shared" si="76"/>
        <v>2.9304999999999994</v>
      </c>
      <c r="I243" s="116">
        <f>IF($B$7=constants!$C$60,G243,IF($B$8=constants!$C$60,C243,E243))</f>
        <v>2.3652000000000015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2.3652000000000015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2.3635777777777793</v>
      </c>
      <c r="P243" s="126">
        <f t="shared" si="57"/>
        <v>2.3435777777777793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2.3798000000000017</v>
      </c>
      <c r="D244" s="117">
        <f t="shared" si="71"/>
        <v>1.3835000000000033</v>
      </c>
      <c r="E244" s="117">
        <f t="shared" si="77"/>
        <v>3.6996400000000009</v>
      </c>
      <c r="F244" s="117">
        <f t="shared" si="75"/>
        <v>3.7146400000000011</v>
      </c>
      <c r="G244" s="117">
        <f t="shared" si="70"/>
        <v>2.3798000000000017</v>
      </c>
      <c r="H244" s="117">
        <f t="shared" si="76"/>
        <v>2.9304999999999994</v>
      </c>
      <c r="I244" s="116">
        <f>IF($B$7=constants!$C$60,G244,IF($B$8=constants!$C$60,C244,E244))</f>
        <v>2.3798000000000017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2.3798000000000017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2.3781777777777795</v>
      </c>
      <c r="P244" s="126">
        <f t="shared" si="57"/>
        <v>2.3581777777777795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2.3944000000000019</v>
      </c>
      <c r="D245" s="117">
        <f t="shared" si="71"/>
        <v>1.3835000000000033</v>
      </c>
      <c r="E245" s="117">
        <f t="shared" si="77"/>
        <v>3.7094950000000009</v>
      </c>
      <c r="F245" s="117">
        <f t="shared" si="75"/>
        <v>3.724495000000001</v>
      </c>
      <c r="G245" s="117">
        <f t="shared" si="70"/>
        <v>2.3944000000000019</v>
      </c>
      <c r="H245" s="117">
        <f t="shared" si="76"/>
        <v>2.9304999999999994</v>
      </c>
      <c r="I245" s="116">
        <f>IF($B$7=constants!$C$60,G245,IF($B$8=constants!$C$60,C245,E245))</f>
        <v>2.3944000000000019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2.3944000000000019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2.3927777777777797</v>
      </c>
      <c r="P245" s="126">
        <f t="shared" si="57"/>
        <v>2.3727777777777797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2.4090000000000016</v>
      </c>
      <c r="D246" s="117">
        <f t="shared" si="71"/>
        <v>1.3835000000000033</v>
      </c>
      <c r="E246" s="117">
        <f t="shared" si="77"/>
        <v>3.7193500000000013</v>
      </c>
      <c r="F246" s="117">
        <f t="shared" si="75"/>
        <v>3.7343500000000014</v>
      </c>
      <c r="G246" s="117">
        <f t="shared" si="70"/>
        <v>2.4090000000000016</v>
      </c>
      <c r="H246" s="117">
        <f t="shared" si="76"/>
        <v>2.9304999999999994</v>
      </c>
      <c r="I246" s="116">
        <f>IF($B$7=constants!$C$60,G246,IF($B$8=constants!$C$60,C246,E246))</f>
        <v>2.4090000000000016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2.4090000000000016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2.4073777777777794</v>
      </c>
      <c r="P246" s="126">
        <f t="shared" si="57"/>
        <v>2.3873777777777794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2.4236000000000018</v>
      </c>
      <c r="D247" s="117">
        <f t="shared" si="71"/>
        <v>1.3835000000000033</v>
      </c>
      <c r="E247" s="117">
        <f t="shared" si="77"/>
        <v>3.7292050000000012</v>
      </c>
      <c r="F247" s="117">
        <f t="shared" si="75"/>
        <v>3.7442050000000013</v>
      </c>
      <c r="G247" s="117">
        <f t="shared" si="70"/>
        <v>2.4236000000000018</v>
      </c>
      <c r="H247" s="117">
        <f t="shared" si="76"/>
        <v>2.9304999999999994</v>
      </c>
      <c r="I247" s="116">
        <f>IF($B$7=constants!$C$60,G247,IF($B$8=constants!$C$60,C247,E247))</f>
        <v>2.4236000000000018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2.4236000000000018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2.4219777777777796</v>
      </c>
      <c r="P247" s="126">
        <f t="shared" si="57"/>
        <v>2.4019777777777795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2.4382000000000015</v>
      </c>
      <c r="D248" s="117">
        <f t="shared" si="71"/>
        <v>1.3835000000000033</v>
      </c>
      <c r="E248" s="117">
        <f t="shared" si="77"/>
        <v>3.7390600000000012</v>
      </c>
      <c r="F248" s="117">
        <f t="shared" si="75"/>
        <v>3.7540600000000013</v>
      </c>
      <c r="G248" s="117">
        <f t="shared" si="70"/>
        <v>2.4382000000000015</v>
      </c>
      <c r="H248" s="117">
        <f t="shared" si="76"/>
        <v>2.9304999999999994</v>
      </c>
      <c r="I248" s="116">
        <f>IF($B$7=constants!$C$60,G248,IF($B$8=constants!$C$60,C248,E248))</f>
        <v>2.4382000000000015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2.4382000000000015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2.4365777777777793</v>
      </c>
      <c r="P248" s="126">
        <f t="shared" si="57"/>
        <v>2.4165777777777793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2.4528000000000016</v>
      </c>
      <c r="D249" s="117">
        <f t="shared" si="71"/>
        <v>1.3835000000000033</v>
      </c>
      <c r="E249" s="117">
        <f t="shared" si="77"/>
        <v>3.7489150000000011</v>
      </c>
      <c r="F249" s="117">
        <f t="shared" si="75"/>
        <v>3.7639150000000012</v>
      </c>
      <c r="G249" s="117">
        <f t="shared" si="70"/>
        <v>2.4528000000000016</v>
      </c>
      <c r="H249" s="117">
        <f t="shared" si="76"/>
        <v>2.9304999999999994</v>
      </c>
      <c r="I249" s="116">
        <f>IF($B$7=constants!$C$60,G249,IF($B$8=constants!$C$60,C249,E249))</f>
        <v>2.4528000000000016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2.4528000000000016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2.4511777777777795</v>
      </c>
      <c r="P249" s="126">
        <f t="shared" si="57"/>
        <v>2.4311777777777794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2.4674000000000018</v>
      </c>
      <c r="D250" s="117">
        <f t="shared" si="71"/>
        <v>1.3835000000000033</v>
      </c>
      <c r="E250" s="117">
        <f t="shared" si="77"/>
        <v>3.7587700000000011</v>
      </c>
      <c r="F250" s="117">
        <f t="shared" si="75"/>
        <v>3.7737700000000012</v>
      </c>
      <c r="G250" s="117">
        <f t="shared" si="70"/>
        <v>2.4674000000000018</v>
      </c>
      <c r="H250" s="117">
        <f t="shared" si="76"/>
        <v>2.9304999999999994</v>
      </c>
      <c r="I250" s="116">
        <f>IF($B$7=constants!$C$60,G250,IF($B$8=constants!$C$60,C250,E250))</f>
        <v>2.4674000000000018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2.4674000000000018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2.4657777777777796</v>
      </c>
      <c r="P250" s="126">
        <f t="shared" si="57"/>
        <v>2.4457777777777796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2.481999999999998</v>
      </c>
      <c r="D251" s="117">
        <f>$G$23*$B251+$G$24</f>
        <v>1.3835000000000037</v>
      </c>
      <c r="E251" s="117">
        <f t="shared" si="77"/>
        <v>3.768625000000001</v>
      </c>
      <c r="F251" s="117">
        <f t="shared" si="75"/>
        <v>3.7836250000000011</v>
      </c>
      <c r="G251" s="117">
        <f>B251*$H$56+$H$57</f>
        <v>2.482000000000002</v>
      </c>
      <c r="H251" s="117">
        <f t="shared" si="76"/>
        <v>2.9304999999999994</v>
      </c>
      <c r="I251" s="116">
        <f>IF($B$7=constants!$C$60,G251,IF($B$8=constants!$C$60,C251,E251))</f>
        <v>2.481999999999998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2.481999999999998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2.4803777777777762</v>
      </c>
      <c r="P251" s="126">
        <f t="shared" si="57"/>
        <v>2.4603777777777762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2.4673999999999978</v>
      </c>
      <c r="D252" s="117">
        <f t="shared" ref="D252:D276" si="80">$G$23*$B252+$G$24</f>
        <v>1.4128400000000032</v>
      </c>
      <c r="E252" s="117">
        <f t="shared" si="77"/>
        <v>3.7784800000000009</v>
      </c>
      <c r="F252" s="117">
        <f t="shared" si="75"/>
        <v>3.7934800000000011</v>
      </c>
      <c r="G252" s="117">
        <f t="shared" ref="G252:G276" si="81">B252*$H$56+$H$57</f>
        <v>2.4993400000000019</v>
      </c>
      <c r="H252" s="117">
        <f t="shared" si="76"/>
        <v>2.9304999999999994</v>
      </c>
      <c r="I252" s="116">
        <f>IF($B$7=constants!$C$60,G252,IF($B$8=constants!$C$60,C252,E252))</f>
        <v>2.4673999999999978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2.4673999999999978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2.4686977777777757</v>
      </c>
      <c r="P252" s="126">
        <f t="shared" si="57"/>
        <v>2.4486977777777756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2.4527999999999976</v>
      </c>
      <c r="D253" s="117">
        <f t="shared" si="80"/>
        <v>1.4421800000000036</v>
      </c>
      <c r="E253" s="117">
        <f t="shared" si="77"/>
        <v>3.7883350000000009</v>
      </c>
      <c r="F253" s="117">
        <f t="shared" si="75"/>
        <v>3.803335000000001</v>
      </c>
      <c r="G253" s="117">
        <f t="shared" si="81"/>
        <v>2.5166800000000022</v>
      </c>
      <c r="H253" s="117">
        <f t="shared" si="76"/>
        <v>2.9304999999999994</v>
      </c>
      <c r="I253" s="116">
        <f>IF($B$7=constants!$C$60,G253,IF($B$8=constants!$C$60,C253,E253))</f>
        <v>2.4527999999999976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2.4527999999999976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2.4543897777777754</v>
      </c>
      <c r="P253" s="126">
        <f t="shared" si="57"/>
        <v>2.4343897777777754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2.4381999999999979</v>
      </c>
      <c r="D254" s="117">
        <f t="shared" si="80"/>
        <v>1.4715200000000039</v>
      </c>
      <c r="E254" s="117">
        <f t="shared" si="77"/>
        <v>3.7981900000000008</v>
      </c>
      <c r="F254" s="117">
        <f t="shared" si="75"/>
        <v>3.813190000000001</v>
      </c>
      <c r="G254" s="117">
        <f t="shared" si="81"/>
        <v>2.5340200000000022</v>
      </c>
      <c r="H254" s="117">
        <f t="shared" si="76"/>
        <v>2.9304999999999994</v>
      </c>
      <c r="I254" s="116">
        <f>IF($B$7=constants!$C$60,G254,IF($B$8=constants!$C$60,C254,E254))</f>
        <v>2.4381999999999979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2.4381999999999979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2.4398189777777759</v>
      </c>
      <c r="P254" s="126">
        <f t="shared" si="57"/>
        <v>2.4198189777777759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2.4235999999999978</v>
      </c>
      <c r="D255" s="117">
        <f t="shared" si="80"/>
        <v>1.5008600000000034</v>
      </c>
      <c r="E255" s="117">
        <f t="shared" si="77"/>
        <v>3.8080450000000008</v>
      </c>
      <c r="F255" s="117">
        <f t="shared" si="75"/>
        <v>3.8230450000000009</v>
      </c>
      <c r="G255" s="117">
        <f t="shared" si="81"/>
        <v>2.5513600000000021</v>
      </c>
      <c r="H255" s="117">
        <f t="shared" si="76"/>
        <v>2.9304999999999994</v>
      </c>
      <c r="I255" s="116">
        <f>IF($B$7=constants!$C$60,G255,IF($B$8=constants!$C$60,C255,E255))</f>
        <v>2.4235999999999978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2.4235999999999978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2.4252218977777757</v>
      </c>
      <c r="P255" s="126">
        <f t="shared" si="57"/>
        <v>2.4052218977777757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2.4089999999999976</v>
      </c>
      <c r="D256" s="117">
        <f t="shared" si="80"/>
        <v>1.5302000000000038</v>
      </c>
      <c r="E256" s="117">
        <f t="shared" si="77"/>
        <v>3.8179000000000007</v>
      </c>
      <c r="F256" s="117">
        <f t="shared" si="75"/>
        <v>3.8329000000000009</v>
      </c>
      <c r="G256" s="117">
        <f t="shared" si="81"/>
        <v>2.568700000000002</v>
      </c>
      <c r="H256" s="117">
        <f t="shared" si="76"/>
        <v>2.9304999999999994</v>
      </c>
      <c r="I256" s="116">
        <f>IF($B$7=constants!$C$60,G256,IF($B$8=constants!$C$60,C256,E256))</f>
        <v>2.4089999999999976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2.4089999999999976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2.4106221897777753</v>
      </c>
      <c r="P256" s="126">
        <f t="shared" si="57"/>
        <v>2.3906221897777753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2.3943999999999979</v>
      </c>
      <c r="D257" s="117">
        <f t="shared" si="80"/>
        <v>1.5595400000000033</v>
      </c>
      <c r="E257" s="117">
        <f t="shared" si="77"/>
        <v>3.8277550000000011</v>
      </c>
      <c r="F257" s="117">
        <f t="shared" si="75"/>
        <v>3.8427550000000013</v>
      </c>
      <c r="G257" s="117">
        <f t="shared" si="81"/>
        <v>2.5860400000000019</v>
      </c>
      <c r="H257" s="117">
        <f t="shared" si="76"/>
        <v>2.9304999999999994</v>
      </c>
      <c r="I257" s="116">
        <f>IF($B$7=constants!$C$60,G257,IF($B$8=constants!$C$60,C257,E257))</f>
        <v>2.3943999999999979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2.3943999999999979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2.3960222189777758</v>
      </c>
      <c r="P257" s="126">
        <f t="shared" si="57"/>
        <v>2.3760222189777758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2.3797999999999977</v>
      </c>
      <c r="D258" s="117">
        <f t="shared" si="80"/>
        <v>1.5888800000000036</v>
      </c>
      <c r="E258" s="117">
        <f t="shared" si="77"/>
        <v>3.8376100000000011</v>
      </c>
      <c r="F258" s="117">
        <f t="shared" si="75"/>
        <v>3.8526100000000012</v>
      </c>
      <c r="G258" s="117">
        <f t="shared" si="81"/>
        <v>2.6033800000000022</v>
      </c>
      <c r="H258" s="117">
        <f t="shared" si="76"/>
        <v>2.9304999999999994</v>
      </c>
      <c r="I258" s="116">
        <f>IF($B$7=constants!$C$60,G258,IF($B$8=constants!$C$60,C258,E258))</f>
        <v>2.3797999999999977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2.3797999999999977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2.3814222218977754</v>
      </c>
      <c r="P258" s="126">
        <f t="shared" si="57"/>
        <v>2.3614222218977754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2.365199999999998</v>
      </c>
      <c r="D259" s="117">
        <f t="shared" si="80"/>
        <v>1.618220000000004</v>
      </c>
      <c r="E259" s="117">
        <f t="shared" si="77"/>
        <v>3.847465000000001</v>
      </c>
      <c r="F259" s="117">
        <f t="shared" si="75"/>
        <v>3.8624650000000011</v>
      </c>
      <c r="G259" s="117">
        <f t="shared" si="81"/>
        <v>2.6207200000000022</v>
      </c>
      <c r="H259" s="117">
        <f t="shared" si="76"/>
        <v>2.9304999999999994</v>
      </c>
      <c r="I259" s="116">
        <f>IF($B$7=constants!$C$60,G259,IF($B$8=constants!$C$60,C259,E259))</f>
        <v>2.365199999999998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2.365199999999998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2.3668222221897759</v>
      </c>
      <c r="P259" s="126">
        <f t="shared" si="57"/>
        <v>2.3468222221897759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2.3505999999999978</v>
      </c>
      <c r="D260" s="117">
        <f t="shared" si="80"/>
        <v>1.6475600000000035</v>
      </c>
      <c r="E260" s="117">
        <f t="shared" si="77"/>
        <v>3.857320000000001</v>
      </c>
      <c r="F260" s="117">
        <f t="shared" si="75"/>
        <v>3.8723200000000011</v>
      </c>
      <c r="G260" s="117">
        <f t="shared" si="81"/>
        <v>2.6380600000000021</v>
      </c>
      <c r="H260" s="117">
        <f t="shared" si="76"/>
        <v>2.9304999999999994</v>
      </c>
      <c r="I260" s="116">
        <f>IF($B$7=constants!$C$60,G260,IF($B$8=constants!$C$60,C260,E260))</f>
        <v>2.3505999999999978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2.3505999999999978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2.3522222222189755</v>
      </c>
      <c r="P260" s="126">
        <f t="shared" si="57"/>
        <v>2.3322222222189755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2.3359999999999976</v>
      </c>
      <c r="D261" s="117">
        <f t="shared" si="80"/>
        <v>1.6769000000000038</v>
      </c>
      <c r="E261" s="117">
        <f t="shared" si="77"/>
        <v>3.8671750000000014</v>
      </c>
      <c r="F261" s="117">
        <f t="shared" si="75"/>
        <v>3.8821750000000015</v>
      </c>
      <c r="G261" s="117">
        <f t="shared" si="81"/>
        <v>2.655400000000002</v>
      </c>
      <c r="H261" s="117">
        <f t="shared" si="76"/>
        <v>2.9304999999999994</v>
      </c>
      <c r="I261" s="116">
        <f>IF($B$7=constants!$C$60,G261,IF($B$8=constants!$C$60,C261,E261))</f>
        <v>2.3359999999999976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2.3359999999999976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2.3376222222218956</v>
      </c>
      <c r="P261" s="126">
        <f t="shared" si="57"/>
        <v>2.3176222222218956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2.3213999999999979</v>
      </c>
      <c r="D262" s="117">
        <f t="shared" si="80"/>
        <v>1.7062400000000033</v>
      </c>
      <c r="E262" s="117">
        <f t="shared" si="77"/>
        <v>3.8770300000000013</v>
      </c>
      <c r="F262" s="117">
        <f t="shared" si="75"/>
        <v>3.8920300000000014</v>
      </c>
      <c r="G262" s="117">
        <f t="shared" si="81"/>
        <v>2.6727400000000019</v>
      </c>
      <c r="H262" s="117">
        <f t="shared" si="76"/>
        <v>2.9304999999999994</v>
      </c>
      <c r="I262" s="116">
        <f>IF($B$7=constants!$C$60,G262,IF($B$8=constants!$C$60,C262,E262))</f>
        <v>2.3213999999999979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2.3213999999999979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2.3230222222221877</v>
      </c>
      <c r="P262" s="126">
        <f t="shared" si="57"/>
        <v>2.3030222222221877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2.3067999999999977</v>
      </c>
      <c r="D263" s="117">
        <f t="shared" si="80"/>
        <v>1.7355800000000037</v>
      </c>
      <c r="E263" s="117">
        <f t="shared" si="77"/>
        <v>3.8868850000000013</v>
      </c>
      <c r="F263" s="117">
        <f t="shared" si="75"/>
        <v>3.9018850000000014</v>
      </c>
      <c r="G263" s="117">
        <f t="shared" si="81"/>
        <v>2.6900800000000022</v>
      </c>
      <c r="H263" s="117">
        <f t="shared" si="76"/>
        <v>2.9304999999999994</v>
      </c>
      <c r="I263" s="116">
        <f>IF($B$7=constants!$C$60,G263,IF($B$8=constants!$C$60,C263,E263))</f>
        <v>2.3067999999999977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2.3067999999999977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2.3084222222222168</v>
      </c>
      <c r="P263" s="126">
        <f t="shared" si="57"/>
        <v>2.2884222222222168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2.2921999999999976</v>
      </c>
      <c r="D264" s="117">
        <f t="shared" si="80"/>
        <v>1.764920000000004</v>
      </c>
      <c r="E264" s="117">
        <f t="shared" si="77"/>
        <v>3.8967400000000012</v>
      </c>
      <c r="F264" s="117">
        <f t="shared" si="75"/>
        <v>3.9117400000000013</v>
      </c>
      <c r="G264" s="117">
        <f t="shared" si="81"/>
        <v>2.7074200000000022</v>
      </c>
      <c r="H264" s="117">
        <f t="shared" si="76"/>
        <v>2.9304999999999994</v>
      </c>
      <c r="I264" s="116">
        <f>IF($B$7=constants!$C$60,G264,IF($B$8=constants!$C$60,C264,E264))</f>
        <v>2.2921999999999976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2.2921999999999976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2.2938222222222193</v>
      </c>
      <c r="P264" s="126">
        <f t="shared" si="57"/>
        <v>2.2738222222222193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2.2775999999999978</v>
      </c>
      <c r="D265" s="117">
        <f t="shared" si="80"/>
        <v>1.7942600000000035</v>
      </c>
      <c r="E265" s="117">
        <f t="shared" si="77"/>
        <v>3.9065950000000011</v>
      </c>
      <c r="F265" s="117">
        <f t="shared" si="75"/>
        <v>3.9215950000000013</v>
      </c>
      <c r="G265" s="117">
        <f t="shared" si="81"/>
        <v>2.7247600000000021</v>
      </c>
      <c r="H265" s="117">
        <f t="shared" si="76"/>
        <v>2.9304999999999994</v>
      </c>
      <c r="I265" s="116">
        <f>IF($B$7=constants!$C$60,G265,IF($B$8=constants!$C$60,C265,E265))</f>
        <v>2.2775999999999978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2.2775999999999978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2.27922222222222</v>
      </c>
      <c r="P265" s="126">
        <f t="shared" si="57"/>
        <v>2.25922222222222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2.2629999999999977</v>
      </c>
      <c r="D266" s="117">
        <f t="shared" si="80"/>
        <v>1.8236000000000039</v>
      </c>
      <c r="E266" s="117">
        <f t="shared" si="77"/>
        <v>3.9164500000000011</v>
      </c>
      <c r="F266" s="117">
        <f t="shared" si="75"/>
        <v>3.9314500000000012</v>
      </c>
      <c r="G266" s="117">
        <f t="shared" si="81"/>
        <v>2.742100000000002</v>
      </c>
      <c r="H266" s="117">
        <f t="shared" si="76"/>
        <v>2.9304999999999994</v>
      </c>
      <c r="I266" s="116">
        <f>IF($B$7=constants!$C$60,G266,IF($B$8=constants!$C$60,C266,E266))</f>
        <v>2.2629999999999977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2.2629999999999977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2.2646222222222199</v>
      </c>
      <c r="P266" s="126">
        <f t="shared" si="57"/>
        <v>2.2446222222222199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2.248399999999998</v>
      </c>
      <c r="D267" s="117">
        <f t="shared" si="80"/>
        <v>1.8529400000000043</v>
      </c>
      <c r="E267" s="117">
        <f t="shared" si="77"/>
        <v>3.926305000000001</v>
      </c>
      <c r="F267" s="117">
        <f t="shared" si="75"/>
        <v>3.9413050000000012</v>
      </c>
      <c r="G267" s="117">
        <f t="shared" si="81"/>
        <v>2.7594400000000019</v>
      </c>
      <c r="H267" s="117">
        <f t="shared" si="76"/>
        <v>2.9304999999999994</v>
      </c>
      <c r="I267" s="116">
        <f>IF($B$7=constants!$C$60,G267,IF($B$8=constants!$C$60,C267,E267))</f>
        <v>2.248399999999998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2.248399999999998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2.2500222222222201</v>
      </c>
      <c r="P267" s="126">
        <f t="shared" si="57"/>
        <v>2.2300222222222201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2.2337999999999978</v>
      </c>
      <c r="D268" s="117">
        <f t="shared" si="80"/>
        <v>1.8822800000000037</v>
      </c>
      <c r="E268" s="117">
        <f t="shared" si="77"/>
        <v>3.936160000000001</v>
      </c>
      <c r="F268" s="117">
        <f t="shared" si="75"/>
        <v>3.9511600000000011</v>
      </c>
      <c r="G268" s="117">
        <f t="shared" si="81"/>
        <v>2.7767800000000022</v>
      </c>
      <c r="H268" s="117">
        <f t="shared" si="76"/>
        <v>2.9304999999999994</v>
      </c>
      <c r="I268" s="116">
        <f>IF($B$7=constants!$C$60,G268,IF($B$8=constants!$C$60,C268,E268))</f>
        <v>2.2337999999999978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2.2337999999999978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2.23542222222222</v>
      </c>
      <c r="P268" s="126">
        <f t="shared" si="57"/>
        <v>2.21542222222222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2.2191999999999976</v>
      </c>
      <c r="D269" s="117">
        <f t="shared" si="80"/>
        <v>1.9116200000000041</v>
      </c>
      <c r="E269" s="117">
        <f t="shared" si="77"/>
        <v>3.9460150000000009</v>
      </c>
      <c r="F269" s="117">
        <f t="shared" si="75"/>
        <v>3.9610150000000011</v>
      </c>
      <c r="G269" s="117">
        <f t="shared" si="81"/>
        <v>2.7941200000000022</v>
      </c>
      <c r="H269" s="117">
        <f t="shared" si="76"/>
        <v>2.9304999999999994</v>
      </c>
      <c r="I269" s="116">
        <f>IF($B$7=constants!$C$60,G269,IF($B$8=constants!$C$60,C269,E269))</f>
        <v>2.2191999999999976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2.2191999999999976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2.2208222222222198</v>
      </c>
      <c r="P269" s="126">
        <f t="shared" ref="P269:P332" si="84">IF(O269=0,0,O269-$P$72)</f>
        <v>2.2008222222222198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2.2045999999999979</v>
      </c>
      <c r="D270" s="117">
        <f t="shared" si="80"/>
        <v>1.9409600000000036</v>
      </c>
      <c r="E270" s="117">
        <f t="shared" si="77"/>
        <v>3.9558700000000009</v>
      </c>
      <c r="F270" s="117">
        <f t="shared" si="75"/>
        <v>3.970870000000001</v>
      </c>
      <c r="G270" s="117">
        <f t="shared" si="81"/>
        <v>2.8114600000000021</v>
      </c>
      <c r="H270" s="117">
        <f t="shared" si="76"/>
        <v>2.9304999999999994</v>
      </c>
      <c r="I270" s="116">
        <f>IF($B$7=constants!$C$60,G270,IF($B$8=constants!$C$60,C270,E270))</f>
        <v>2.2045999999999979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2.2045999999999979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2.2062222222222201</v>
      </c>
      <c r="P270" s="126">
        <f t="shared" si="84"/>
        <v>2.1862222222222201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2.1899999999999977</v>
      </c>
      <c r="D271" s="117">
        <f t="shared" si="80"/>
        <v>1.9703000000000039</v>
      </c>
      <c r="E271" s="117">
        <f t="shared" si="77"/>
        <v>3.9657250000000013</v>
      </c>
      <c r="F271" s="117">
        <f t="shared" si="75"/>
        <v>3.9807250000000014</v>
      </c>
      <c r="G271" s="117">
        <f t="shared" si="81"/>
        <v>2.828800000000002</v>
      </c>
      <c r="H271" s="117">
        <f t="shared" si="76"/>
        <v>2.9304999999999994</v>
      </c>
      <c r="I271" s="116">
        <f>IF($B$7=constants!$C$60,G271,IF($B$8=constants!$C$60,C271,E271))</f>
        <v>2.1899999999999977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2.1899999999999977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2.1916222222222199</v>
      </c>
      <c r="P271" s="126">
        <f t="shared" si="84"/>
        <v>2.1716222222222199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2.1753999999999976</v>
      </c>
      <c r="D272" s="117">
        <f t="shared" si="80"/>
        <v>1.9996400000000043</v>
      </c>
      <c r="E272" s="117">
        <f t="shared" si="77"/>
        <v>3.9755800000000012</v>
      </c>
      <c r="F272" s="117">
        <f t="shared" si="75"/>
        <v>3.9905800000000013</v>
      </c>
      <c r="G272" s="117">
        <f t="shared" si="81"/>
        <v>2.8461400000000019</v>
      </c>
      <c r="H272" s="117">
        <f t="shared" si="76"/>
        <v>2.9304999999999994</v>
      </c>
      <c r="I272" s="116">
        <f>IF($B$7=constants!$C$60,G272,IF($B$8=constants!$C$60,C272,E272))</f>
        <v>2.1753999999999976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2.1753999999999976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2.1770222222222197</v>
      </c>
      <c r="P272" s="126">
        <f t="shared" si="84"/>
        <v>2.1570222222222197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2.1607999999999978</v>
      </c>
      <c r="D273" s="117">
        <f t="shared" si="80"/>
        <v>2.0289800000000038</v>
      </c>
      <c r="E273" s="117">
        <f t="shared" si="77"/>
        <v>3.9854350000000012</v>
      </c>
      <c r="F273" s="117">
        <f t="shared" ref="F273:F304" si="95">E273+$F$74</f>
        <v>4.0004350000000013</v>
      </c>
      <c r="G273" s="117">
        <f t="shared" si="81"/>
        <v>2.8634800000000018</v>
      </c>
      <c r="H273" s="117">
        <f t="shared" si="76"/>
        <v>2.9304999999999994</v>
      </c>
      <c r="I273" s="116">
        <f>IF($B$7=constants!$C$60,G273,IF($B$8=constants!$C$60,C273,E273))</f>
        <v>2.1607999999999978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2.1607999999999978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2.16242222222222</v>
      </c>
      <c r="P273" s="126">
        <f t="shared" si="84"/>
        <v>2.14242222222222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2.1461999999999977</v>
      </c>
      <c r="D274" s="117">
        <f t="shared" si="80"/>
        <v>2.0583200000000041</v>
      </c>
      <c r="E274" s="117">
        <f t="shared" si="77"/>
        <v>3.9952900000000011</v>
      </c>
      <c r="F274" s="117">
        <f t="shared" si="95"/>
        <v>4.0102900000000012</v>
      </c>
      <c r="G274" s="117">
        <f t="shared" si="81"/>
        <v>2.8808200000000022</v>
      </c>
      <c r="H274" s="117">
        <f t="shared" si="76"/>
        <v>2.9304999999999994</v>
      </c>
      <c r="I274" s="116">
        <f>IF($B$7=constants!$C$60,G274,IF($B$8=constants!$C$60,C274,E274))</f>
        <v>2.1461999999999977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2.1461999999999977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2.1478222222222199</v>
      </c>
      <c r="P274" s="126">
        <f t="shared" si="84"/>
        <v>2.1278222222222198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2.1315999999999979</v>
      </c>
      <c r="D275" s="117">
        <f t="shared" si="80"/>
        <v>2.0876600000000045</v>
      </c>
      <c r="E275" s="117">
        <f t="shared" si="77"/>
        <v>4.0051450000000015</v>
      </c>
      <c r="F275" s="117">
        <f t="shared" si="95"/>
        <v>4.0201450000000012</v>
      </c>
      <c r="G275" s="117">
        <f t="shared" si="81"/>
        <v>2.8981600000000021</v>
      </c>
      <c r="H275" s="117">
        <f t="shared" si="76"/>
        <v>2.9304999999999994</v>
      </c>
      <c r="I275" s="116">
        <f>IF($B$7=constants!$C$60,G275,IF($B$8=constants!$C$60,C275,E275))</f>
        <v>2.1315999999999979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2.1315999999999979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2.1332222222222201</v>
      </c>
      <c r="P275" s="126">
        <f t="shared" si="84"/>
        <v>2.1132222222222201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2.1170000000000115</v>
      </c>
      <c r="D276" s="117">
        <f t="shared" si="80"/>
        <v>2.1170000000000031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2.9155000000000015</v>
      </c>
      <c r="H276" s="117">
        <f t="shared" ref="H276:H307" si="96">$H$63*B276+$H$64</f>
        <v>2.9304999999999994</v>
      </c>
      <c r="I276" s="116">
        <f>IF($B$7=constants!$C$60,G276,IF($B$8=constants!$C$60,C276,E276))</f>
        <v>2.1170000000000115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2.1170000000000115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2.1186222222222324</v>
      </c>
      <c r="P276" s="126">
        <f t="shared" si="84"/>
        <v>2.0986222222222324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2.1929200000000098</v>
      </c>
      <c r="D277" s="117">
        <f t="shared" ref="D277:D308" si="98">C277+$D$74</f>
        <v>2.2079200000000099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2.914499999999999</v>
      </c>
      <c r="H277" s="117">
        <f t="shared" si="96"/>
        <v>2.9294999999999991</v>
      </c>
      <c r="I277" s="116">
        <f>IF($B$7=constants!$C$60,G277,IF($B$8=constants!$C$60,C277,E277))</f>
        <v>2.1929200000000098</v>
      </c>
      <c r="J277" s="116">
        <f>IF($B$7=constants!$C$60,H277,IF($B$8=constants!$C$60,D277,F277))</f>
        <v>2.2079200000000099</v>
      </c>
      <c r="K277" s="121">
        <f t="shared" si="90"/>
        <v>1</v>
      </c>
      <c r="L277" s="10">
        <f t="shared" si="73"/>
        <v>2.1929200000000098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2.1854902222222319</v>
      </c>
      <c r="P277" s="126">
        <f t="shared" si="84"/>
        <v>2.1654902222222319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2.268840000000008</v>
      </c>
      <c r="D278" s="117">
        <f t="shared" si="98"/>
        <v>2.2838400000000081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2.9134999999999991</v>
      </c>
      <c r="H278" s="117">
        <f t="shared" si="96"/>
        <v>2.9284999999999992</v>
      </c>
      <c r="I278" s="116">
        <f>IF($B$7=constants!$C$60,G278,IF($B$8=constants!$C$60,C278,E278))</f>
        <v>2.268840000000008</v>
      </c>
      <c r="J278" s="116">
        <f>IF($B$7=constants!$C$60,H278,IF($B$8=constants!$C$60,D278,F278))</f>
        <v>2.2838400000000081</v>
      </c>
      <c r="K278" s="121">
        <f t="shared" si="90"/>
        <v>1</v>
      </c>
      <c r="L278" s="10">
        <f t="shared" si="73"/>
        <v>2.268840000000008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2.2605050222222305</v>
      </c>
      <c r="P278" s="126">
        <f t="shared" si="84"/>
        <v>2.2405050222222305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2.3447600000000062</v>
      </c>
      <c r="D279" s="117">
        <f t="shared" si="98"/>
        <v>2.3597600000000063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2.9124999999999992</v>
      </c>
      <c r="H279" s="117">
        <f t="shared" si="96"/>
        <v>2.9274999999999993</v>
      </c>
      <c r="I279" s="116">
        <f>IF($B$7=constants!$C$60,G279,IF($B$8=constants!$C$60,C279,E279))</f>
        <v>2.3447600000000062</v>
      </c>
      <c r="J279" s="116">
        <f>IF($B$7=constants!$C$60,H279,IF($B$8=constants!$C$60,D279,F279))</f>
        <v>2.3597600000000063</v>
      </c>
      <c r="K279" s="121">
        <f t="shared" si="90"/>
        <v>1</v>
      </c>
      <c r="L279" s="10">
        <f t="shared" si="73"/>
        <v>2.3447600000000062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2.3363345022222286</v>
      </c>
      <c r="P279" s="126">
        <f t="shared" si="84"/>
        <v>2.3163345022222286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2.4206800000000044</v>
      </c>
      <c r="D280" s="117">
        <f t="shared" si="98"/>
        <v>2.4356800000000045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2.9114999999999993</v>
      </c>
      <c r="H280" s="117">
        <f t="shared" si="96"/>
        <v>2.9264999999999994</v>
      </c>
      <c r="I280" s="116">
        <f>IF($B$7=constants!$C$60,G280,IF($B$8=constants!$C$60,C280,E280))</f>
        <v>2.4206800000000044</v>
      </c>
      <c r="J280" s="116">
        <f>IF($B$7=constants!$C$60,H280,IF($B$8=constants!$C$60,D280,F280))</f>
        <v>2.4356800000000045</v>
      </c>
      <c r="K280" s="121">
        <f t="shared" si="90"/>
        <v>1</v>
      </c>
      <c r="L280" s="10">
        <f t="shared" si="73"/>
        <v>2.4206800000000044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2.412245450222227</v>
      </c>
      <c r="P280" s="126">
        <f t="shared" si="84"/>
        <v>2.392245450222227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2.4966000000000026</v>
      </c>
      <c r="D281" s="117">
        <f t="shared" si="98"/>
        <v>2.5116000000000027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2.9104999999999994</v>
      </c>
      <c r="H281" s="117">
        <f t="shared" si="96"/>
        <v>2.9254999999999995</v>
      </c>
      <c r="I281" s="116">
        <f>IF($B$7=constants!$C$60,G281,IF($B$8=constants!$C$60,C281,E281))</f>
        <v>2.4966000000000026</v>
      </c>
      <c r="J281" s="116">
        <f>IF($B$7=constants!$C$60,H281,IF($B$8=constants!$C$60,D281,F281))</f>
        <v>2.5116000000000027</v>
      </c>
      <c r="K281" s="121">
        <f t="shared" si="90"/>
        <v>1</v>
      </c>
      <c r="L281" s="10">
        <f t="shared" si="73"/>
        <v>2.4966000000000026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2.4881645450222249</v>
      </c>
      <c r="P281" s="126">
        <f t="shared" si="84"/>
        <v>2.4681645450222249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2.5725200000000008</v>
      </c>
      <c r="D282" s="117">
        <f t="shared" si="98"/>
        <v>2.5875200000000009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2.9094999999999991</v>
      </c>
      <c r="H282" s="117">
        <f t="shared" si="96"/>
        <v>2.9244999999999992</v>
      </c>
      <c r="I282" s="116">
        <f>IF($B$7=constants!$C$60,G282,IF($B$8=constants!$C$60,C282,E282))</f>
        <v>2.5725200000000008</v>
      </c>
      <c r="J282" s="116">
        <f>IF($B$7=constants!$C$60,H282,IF($B$8=constants!$C$60,D282,F282))</f>
        <v>2.5875200000000009</v>
      </c>
      <c r="K282" s="121">
        <f t="shared" si="90"/>
        <v>1</v>
      </c>
      <c r="L282" s="10">
        <f t="shared" si="73"/>
        <v>2.5725200000000008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2.5640844545022232</v>
      </c>
      <c r="P282" s="126">
        <f t="shared" si="84"/>
        <v>2.5440844545022232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2.648439999999999</v>
      </c>
      <c r="D283" s="117">
        <f t="shared" si="98"/>
        <v>2.6634399999999991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2.9084999999999992</v>
      </c>
      <c r="H283" s="117">
        <f t="shared" si="96"/>
        <v>2.9234999999999993</v>
      </c>
      <c r="I283" s="116">
        <f>IF($B$7=constants!$C$60,G283,IF($B$8=constants!$C$60,C283,E283))</f>
        <v>2.648439999999999</v>
      </c>
      <c r="J283" s="116">
        <f>IF($B$7=constants!$C$60,H283,IF($B$8=constants!$C$60,D283,F283))</f>
        <v>2.6634399999999991</v>
      </c>
      <c r="K283" s="121">
        <f t="shared" si="90"/>
        <v>1</v>
      </c>
      <c r="L283" s="10">
        <f t="shared" si="73"/>
        <v>2.648439999999999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2.6400044454502214</v>
      </c>
      <c r="P283" s="126">
        <f t="shared" si="84"/>
        <v>2.6200044454502214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2.7243599999999972</v>
      </c>
      <c r="D284" s="117">
        <f t="shared" si="98"/>
        <v>2.7393599999999974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2.9074999999999993</v>
      </c>
      <c r="H284" s="117">
        <f t="shared" si="96"/>
        <v>2.9224999999999994</v>
      </c>
      <c r="I284" s="116">
        <f>IF($B$7=constants!$C$60,G284,IF($B$8=constants!$C$60,C284,E284))</f>
        <v>2.7243599999999972</v>
      </c>
      <c r="J284" s="116">
        <f>IF($B$7=constants!$C$60,H284,IF($B$8=constants!$C$60,D284,F284))</f>
        <v>2.7393599999999974</v>
      </c>
      <c r="K284" s="121">
        <f t="shared" si="90"/>
        <v>1</v>
      </c>
      <c r="L284" s="10">
        <f t="shared" si="73"/>
        <v>2.7243599999999972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1.6590004445450222</v>
      </c>
      <c r="P284" s="126">
        <f t="shared" si="84"/>
        <v>1.6390004445450221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2.8002799999999954</v>
      </c>
      <c r="D285" s="117">
        <f t="shared" si="98"/>
        <v>2.8152799999999956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2.9064999999999994</v>
      </c>
      <c r="H285" s="117">
        <f t="shared" si="96"/>
        <v>2.9214999999999995</v>
      </c>
      <c r="I285" s="116">
        <f>IF($B$7=constants!$C$60,G285,IF($B$8=constants!$C$60,C285,E285))</f>
        <v>2.8002799999999954</v>
      </c>
      <c r="J285" s="116">
        <f>IF($B$7=constants!$C$60,H285,IF($B$8=constants!$C$60,D285,F285))</f>
        <v>2.8152799999999956</v>
      </c>
      <c r="K285" s="121">
        <f t="shared" si="90"/>
        <v>1</v>
      </c>
      <c r="L285" s="10">
        <f t="shared" si="73"/>
        <v>2.8002799999999954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1.5609000444545023</v>
      </c>
      <c r="P285" s="126">
        <f t="shared" si="84"/>
        <v>1.5409000444545022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2.8761999999999954</v>
      </c>
      <c r="D286" s="117">
        <f t="shared" si="98"/>
        <v>2.8911999999999956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2.9054999999999995</v>
      </c>
      <c r="H286" s="117">
        <f t="shared" si="96"/>
        <v>2.9204999999999997</v>
      </c>
      <c r="I286" s="116">
        <f>IF($B$7=constants!$C$60,G286,IF($B$8=constants!$C$60,C286,E286))</f>
        <v>2.8761999999999954</v>
      </c>
      <c r="J286" s="116">
        <f>IF($B$7=constants!$C$60,H286,IF($B$8=constants!$C$60,D286,F286))</f>
        <v>2.8911999999999956</v>
      </c>
      <c r="K286" s="121">
        <f t="shared" si="90"/>
        <v>1</v>
      </c>
      <c r="L286" s="10">
        <f t="shared" si="73"/>
        <v>2.8761999999999954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1.5510900044454503</v>
      </c>
      <c r="P286" s="126">
        <f t="shared" si="84"/>
        <v>1.5310900044454503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2.9521199999999936</v>
      </c>
      <c r="D287" s="117">
        <f t="shared" si="98"/>
        <v>2.9671199999999938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2.9044999999999992</v>
      </c>
      <c r="H287" s="117">
        <f t="shared" si="96"/>
        <v>2.9194999999999993</v>
      </c>
      <c r="I287" s="116">
        <f>IF($B$7=constants!$C$60,G287,IF($B$8=constants!$C$60,C287,E287))</f>
        <v>2.9521199999999936</v>
      </c>
      <c r="J287" s="116">
        <f>IF($B$7=constants!$C$60,H287,IF($B$8=constants!$C$60,D287,F287))</f>
        <v>2.9671199999999938</v>
      </c>
      <c r="K287" s="121">
        <f t="shared" si="90"/>
        <v>1</v>
      </c>
      <c r="L287" s="10">
        <f t="shared" si="73"/>
        <v>2.9521199999999936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1.550109000444545</v>
      </c>
      <c r="P287" s="126">
        <f t="shared" si="84"/>
        <v>1.530109000444545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3.0280399999999901</v>
      </c>
      <c r="D288" s="117">
        <f t="shared" si="98"/>
        <v>3.0430399999999902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2.9034999999999993</v>
      </c>
      <c r="H288" s="117">
        <f t="shared" si="96"/>
        <v>2.9184999999999994</v>
      </c>
      <c r="I288" s="116">
        <f>IF($B$7=constants!$C$60,G288,IF($B$8=constants!$C$60,C288,E288))</f>
        <v>3.0280399999999901</v>
      </c>
      <c r="J288" s="116">
        <f>IF($B$7=constants!$C$60,H288,IF($B$8=constants!$C$60,D288,F288))</f>
        <v>3.0430399999999902</v>
      </c>
      <c r="K288" s="121">
        <f t="shared" si="90"/>
        <v>1</v>
      </c>
      <c r="L288" s="10">
        <f t="shared" si="73"/>
        <v>3.0280399999999901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1.5500109000444546</v>
      </c>
      <c r="P288" s="126">
        <f t="shared" si="84"/>
        <v>1.5300109000444546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3.1039599999999901</v>
      </c>
      <c r="D289" s="117">
        <f t="shared" si="98"/>
        <v>3.1189599999999902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2.9024999999999994</v>
      </c>
      <c r="H289" s="117">
        <f t="shared" si="96"/>
        <v>2.9174999999999995</v>
      </c>
      <c r="I289" s="116">
        <f>IF($B$7=constants!$C$60,G289,IF($B$8=constants!$C$60,C289,E289))</f>
        <v>3.1039599999999901</v>
      </c>
      <c r="J289" s="116">
        <f>IF($B$7=constants!$C$60,H289,IF($B$8=constants!$C$60,D289,F289))</f>
        <v>3.1189599999999902</v>
      </c>
      <c r="K289" s="121">
        <f t="shared" si="90"/>
        <v>1</v>
      </c>
      <c r="L289" s="10">
        <f t="shared" si="73"/>
        <v>3.1039599999999901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1.5500010900044454</v>
      </c>
      <c r="P289" s="126">
        <f t="shared" si="84"/>
        <v>1.5300010900044454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3.1798799999999865</v>
      </c>
      <c r="D290" s="117">
        <f t="shared" si="98"/>
        <v>3.1948799999999866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2.9014999999999995</v>
      </c>
      <c r="H290" s="117">
        <f t="shared" si="96"/>
        <v>2.9164999999999996</v>
      </c>
      <c r="I290" s="116">
        <f>IF($B$7=constants!$C$60,G290,IF($B$8=constants!$C$60,C290,E290))</f>
        <v>3.1798799999999865</v>
      </c>
      <c r="J290" s="116">
        <f>IF($B$7=constants!$C$60,H290,IF($B$8=constants!$C$60,D290,F290))</f>
        <v>3.1948799999999866</v>
      </c>
      <c r="K290" s="121">
        <f t="shared" si="90"/>
        <v>1</v>
      </c>
      <c r="L290" s="10">
        <f t="shared" si="73"/>
        <v>3.1798799999999865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1.5500001090004445</v>
      </c>
      <c r="P290" s="126">
        <f t="shared" si="84"/>
        <v>1.5300001090004445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3.2557999999999865</v>
      </c>
      <c r="D291" s="117">
        <f t="shared" si="98"/>
        <v>3.2707999999999866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2.9004999999999996</v>
      </c>
      <c r="H291" s="117">
        <f t="shared" si="96"/>
        <v>2.9154999999999998</v>
      </c>
      <c r="I291" s="116">
        <f>IF($B$7=constants!$C$60,G291,IF($B$8=constants!$C$60,C291,E291))</f>
        <v>3.2557999999999865</v>
      </c>
      <c r="J291" s="116">
        <f>IF($B$7=constants!$C$60,H291,IF($B$8=constants!$C$60,D291,F291))</f>
        <v>3.2707999999999866</v>
      </c>
      <c r="K291" s="121">
        <f t="shared" si="90"/>
        <v>1</v>
      </c>
      <c r="L291" s="10">
        <f t="shared" si="73"/>
        <v>3.2557999999999865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1.5500000109000445</v>
      </c>
      <c r="P291" s="126">
        <f t="shared" si="84"/>
        <v>1.5300000109000444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3.3317199999999865</v>
      </c>
      <c r="D292" s="117">
        <f t="shared" si="98"/>
        <v>3.3467199999999866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2.8994999999999993</v>
      </c>
      <c r="H292" s="117">
        <f t="shared" si="96"/>
        <v>2.9144999999999994</v>
      </c>
      <c r="I292" s="116">
        <f>IF($B$7=constants!$C$60,G292,IF($B$8=constants!$C$60,C292,E292))</f>
        <v>3.3317199999999865</v>
      </c>
      <c r="J292" s="116">
        <f>IF($B$7=constants!$C$60,H292,IF($B$8=constants!$C$60,D292,F292))</f>
        <v>3.3467199999999866</v>
      </c>
      <c r="K292" s="121">
        <f t="shared" si="90"/>
        <v>1</v>
      </c>
      <c r="L292" s="10">
        <f t="shared" si="73"/>
        <v>3.3317199999999865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1.5500000010900046</v>
      </c>
      <c r="P292" s="126">
        <f t="shared" si="84"/>
        <v>1.5300000010900046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3.4076399999999829</v>
      </c>
      <c r="D293" s="117">
        <f t="shared" si="98"/>
        <v>3.422639999999983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2.8984999999999994</v>
      </c>
      <c r="H293" s="117">
        <f t="shared" si="96"/>
        <v>2.9134999999999995</v>
      </c>
      <c r="I293" s="116">
        <f>IF($B$7=constants!$C$60,G293,IF($B$8=constants!$C$60,C293,E293))</f>
        <v>3.4076399999999829</v>
      </c>
      <c r="J293" s="116">
        <f>IF($B$7=constants!$C$60,H293,IF($B$8=constants!$C$60,D293,F293))</f>
        <v>3.422639999999983</v>
      </c>
      <c r="K293" s="121">
        <f t="shared" si="90"/>
        <v>1</v>
      </c>
      <c r="L293" s="10">
        <f t="shared" si="73"/>
        <v>3.4076399999999829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1.5500000001090004</v>
      </c>
      <c r="P293" s="126">
        <f t="shared" si="84"/>
        <v>1.5300000001090004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3.4835599999999829</v>
      </c>
      <c r="D294" s="117">
        <f t="shared" si="98"/>
        <v>3.498559999999983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2.8974999999999995</v>
      </c>
      <c r="H294" s="117">
        <f t="shared" si="96"/>
        <v>2.9124999999999996</v>
      </c>
      <c r="I294" s="116">
        <f>IF($B$7=constants!$C$60,G294,IF($B$8=constants!$C$60,C294,E294))</f>
        <v>3.4835599999999829</v>
      </c>
      <c r="J294" s="116">
        <f>IF($B$7=constants!$C$60,H294,IF($B$8=constants!$C$60,D294,F294))</f>
        <v>3.498559999999983</v>
      </c>
      <c r="K294" s="121">
        <f t="shared" si="90"/>
        <v>1</v>
      </c>
      <c r="L294" s="10">
        <f t="shared" si="73"/>
        <v>3.4835599999999829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1.5500000000109</v>
      </c>
      <c r="P294" s="126">
        <f t="shared" si="84"/>
        <v>1.5300000000109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3.5594799999999793</v>
      </c>
      <c r="D295" s="117">
        <f t="shared" si="98"/>
        <v>3.5744799999999795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2.8964999999999996</v>
      </c>
      <c r="H295" s="117">
        <f t="shared" si="96"/>
        <v>2.9114999999999998</v>
      </c>
      <c r="I295" s="116">
        <f>IF($B$7=constants!$C$60,G295,IF($B$8=constants!$C$60,C295,E295))</f>
        <v>3.5594799999999793</v>
      </c>
      <c r="J295" s="116">
        <f>IF($B$7=constants!$C$60,H295,IF($B$8=constants!$C$60,D295,F295))</f>
        <v>3.5744799999999795</v>
      </c>
      <c r="K295" s="121">
        <f t="shared" si="90"/>
        <v>1</v>
      </c>
      <c r="L295" s="10">
        <f t="shared" si="73"/>
        <v>3.5594799999999793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1.5500000000010901</v>
      </c>
      <c r="P295" s="126">
        <f t="shared" si="84"/>
        <v>1.53000000000109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3.6353999999999793</v>
      </c>
      <c r="D296" s="117">
        <f t="shared" si="98"/>
        <v>3.6503999999999794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2.8954999999999997</v>
      </c>
      <c r="H296" s="117">
        <f t="shared" si="96"/>
        <v>2.9104999999999999</v>
      </c>
      <c r="I296" s="116">
        <f>IF($B$7=constants!$C$60,G296,IF($B$8=constants!$C$60,C296,E296))</f>
        <v>3.6353999999999793</v>
      </c>
      <c r="J296" s="116">
        <f>IF($B$7=constants!$C$60,H296,IF($B$8=constants!$C$60,D296,F296))</f>
        <v>3.6503999999999794</v>
      </c>
      <c r="K296" s="121">
        <f t="shared" si="90"/>
        <v>1</v>
      </c>
      <c r="L296" s="10">
        <f t="shared" si="73"/>
        <v>3.6353999999999793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1.5500000000001091</v>
      </c>
      <c r="P296" s="126">
        <f t="shared" si="84"/>
        <v>1.5300000000001091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3.7113199999999757</v>
      </c>
      <c r="D297" s="117">
        <f t="shared" si="98"/>
        <v>3.7263199999999759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2.8944999999999994</v>
      </c>
      <c r="H297" s="117">
        <f t="shared" si="96"/>
        <v>2.9094999999999995</v>
      </c>
      <c r="I297" s="116">
        <f>IF($B$7=constants!$C$60,G297,IF($B$8=constants!$C$60,C297,E297))</f>
        <v>3.7113199999999757</v>
      </c>
      <c r="J297" s="116">
        <f>IF($B$7=constants!$C$60,H297,IF($B$8=constants!$C$60,D297,F297))</f>
        <v>3.7263199999999759</v>
      </c>
      <c r="K297" s="121">
        <f t="shared" si="90"/>
        <v>1</v>
      </c>
      <c r="L297" s="10">
        <f t="shared" si="73"/>
        <v>3.7113199999999757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1.5500000000000109</v>
      </c>
      <c r="P297" s="126">
        <f t="shared" si="84"/>
        <v>1.5300000000000109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3.7872399999999757</v>
      </c>
      <c r="D298" s="117">
        <f t="shared" si="98"/>
        <v>3.8022399999999759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2.8934999999999995</v>
      </c>
      <c r="H298" s="117">
        <f t="shared" si="96"/>
        <v>2.9084999999999996</v>
      </c>
      <c r="I298" s="116">
        <f>IF($B$7=constants!$C$60,G298,IF($B$8=constants!$C$60,C298,E298))</f>
        <v>3.7872399999999757</v>
      </c>
      <c r="J298" s="116">
        <f>IF($B$7=constants!$C$60,H298,IF($B$8=constants!$C$60,D298,F298))</f>
        <v>3.8022399999999759</v>
      </c>
      <c r="K298" s="121">
        <f t="shared" si="90"/>
        <v>1</v>
      </c>
      <c r="L298" s="10">
        <f t="shared" si="73"/>
        <v>3.7872399999999757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1.5500000000000012</v>
      </c>
      <c r="P298" s="126">
        <f t="shared" si="84"/>
        <v>1.5300000000000011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3.8631599999999722</v>
      </c>
      <c r="D299" s="117">
        <f t="shared" si="98"/>
        <v>3.8781599999999723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2.8924999999999996</v>
      </c>
      <c r="H299" s="117">
        <f t="shared" si="96"/>
        <v>2.9074999999999998</v>
      </c>
      <c r="I299" s="116">
        <f>IF($B$7=constants!$C$60,G299,IF($B$8=constants!$C$60,C299,E299))</f>
        <v>3.8631599999999722</v>
      </c>
      <c r="J299" s="116">
        <f>IF($B$7=constants!$C$60,H299,IF($B$8=constants!$C$60,D299,F299))</f>
        <v>3.8781599999999723</v>
      </c>
      <c r="K299" s="121">
        <f t="shared" si="90"/>
        <v>1</v>
      </c>
      <c r="L299" s="10">
        <f t="shared" si="73"/>
        <v>3.8631599999999722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1.5500000000000003</v>
      </c>
      <c r="P299" s="126">
        <f t="shared" si="84"/>
        <v>1.5300000000000002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3.9390799999999722</v>
      </c>
      <c r="D300" s="117">
        <f t="shared" si="98"/>
        <v>3.9540799999999723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2.8914999999999997</v>
      </c>
      <c r="H300" s="117">
        <f t="shared" si="96"/>
        <v>2.9064999999999999</v>
      </c>
      <c r="I300" s="116">
        <f>IF($B$7=constants!$C$60,G300,IF($B$8=constants!$C$60,C300,E300))</f>
        <v>3.9390799999999722</v>
      </c>
      <c r="J300" s="116">
        <f>IF($B$7=constants!$C$60,H300,IF($B$8=constants!$C$60,D300,F300))</f>
        <v>3.9540799999999723</v>
      </c>
      <c r="K300" s="121">
        <f t="shared" si="90"/>
        <v>1</v>
      </c>
      <c r="L300" s="10">
        <f t="shared" si="73"/>
        <v>3.9390799999999722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</v>
      </c>
      <c r="P300" s="126">
        <f t="shared" si="84"/>
        <v>1.53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2.8904999999999998</v>
      </c>
      <c r="H301" s="117">
        <f t="shared" si="96"/>
        <v>2.9055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</v>
      </c>
      <c r="P301" s="126">
        <f t="shared" si="84"/>
        <v>1.53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2.8894999999999995</v>
      </c>
      <c r="H302" s="117">
        <f t="shared" si="96"/>
        <v>2.9044999999999996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</v>
      </c>
      <c r="P302" s="126">
        <f t="shared" si="84"/>
        <v>1.53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2.8884999999999996</v>
      </c>
      <c r="H303" s="117">
        <f t="shared" si="96"/>
        <v>2.9034999999999997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</v>
      </c>
      <c r="P303" s="126">
        <f t="shared" si="84"/>
        <v>1.53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2.8874999999999997</v>
      </c>
      <c r="H304" s="117">
        <f t="shared" si="96"/>
        <v>2.9024999999999999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</v>
      </c>
      <c r="P304" s="126">
        <f t="shared" si="84"/>
        <v>1.53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2.8864999999999998</v>
      </c>
      <c r="H305" s="117">
        <f t="shared" si="96"/>
        <v>2.9015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</v>
      </c>
      <c r="P305" s="126">
        <f t="shared" si="84"/>
        <v>1.53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2.8855</v>
      </c>
      <c r="H306" s="117">
        <f t="shared" si="96"/>
        <v>2.9005000000000001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</v>
      </c>
      <c r="P306" s="126">
        <f t="shared" si="84"/>
        <v>1.53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2.8844999999999996</v>
      </c>
      <c r="H307" s="117">
        <f t="shared" si="96"/>
        <v>2.8994999999999997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</v>
      </c>
      <c r="P307" s="126">
        <f t="shared" si="84"/>
        <v>1.53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2.8834999999999997</v>
      </c>
      <c r="H308" s="117">
        <f t="shared" ref="H308:H339" si="107">$H$63*B308+$H$64</f>
        <v>2.8984999999999999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2.8824999999999998</v>
      </c>
      <c r="H309" s="117">
        <f t="shared" si="107"/>
        <v>2.8975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2.8815</v>
      </c>
      <c r="H310" s="117">
        <f t="shared" si="107"/>
        <v>2.8965000000000001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2.8805000000000001</v>
      </c>
      <c r="H311" s="117">
        <f t="shared" si="107"/>
        <v>2.8955000000000002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2.8794999999999997</v>
      </c>
      <c r="H312" s="117">
        <f t="shared" si="107"/>
        <v>2.8944999999999999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2.8784999999999998</v>
      </c>
      <c r="H313" s="117">
        <f t="shared" si="107"/>
        <v>2.8935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2.8774999999999999</v>
      </c>
      <c r="H314" s="117">
        <f t="shared" si="107"/>
        <v>2.8925000000000001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2.8765000000000001</v>
      </c>
      <c r="H315" s="117">
        <f t="shared" si="107"/>
        <v>2.8915000000000002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2.8755000000000002</v>
      </c>
      <c r="H316" s="117">
        <f t="shared" si="107"/>
        <v>2.8905000000000003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2.8744999999999998</v>
      </c>
      <c r="H317" s="117">
        <f t="shared" si="107"/>
        <v>2.8895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2.8734999999999999</v>
      </c>
      <c r="H318" s="117">
        <f t="shared" si="107"/>
        <v>2.8885000000000001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2.8725000000000001</v>
      </c>
      <c r="H319" s="117">
        <f t="shared" si="107"/>
        <v>2.8875000000000002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2.8715000000000002</v>
      </c>
      <c r="H320" s="117">
        <f t="shared" si="107"/>
        <v>2.8865000000000003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2.8705000000000003</v>
      </c>
      <c r="H321" s="117">
        <f t="shared" si="107"/>
        <v>2.8855000000000004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2.8694999999999999</v>
      </c>
      <c r="H322" s="117">
        <f t="shared" si="107"/>
        <v>2.8845000000000001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2.8685</v>
      </c>
      <c r="H323" s="117">
        <f t="shared" si="107"/>
        <v>2.8835000000000002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2.8675000000000002</v>
      </c>
      <c r="H324" s="117">
        <f t="shared" si="107"/>
        <v>2.8825000000000003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2.8665000000000003</v>
      </c>
      <c r="H325" s="117">
        <f t="shared" si="107"/>
        <v>2.8815000000000004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2.8655000000000004</v>
      </c>
      <c r="H326" s="117">
        <f t="shared" si="107"/>
        <v>2.8805000000000005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2.8645</v>
      </c>
      <c r="H327" s="117">
        <f t="shared" si="107"/>
        <v>2.8795000000000002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2.8635000000000002</v>
      </c>
      <c r="H328" s="117">
        <f t="shared" si="107"/>
        <v>2.8785000000000003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2.8625000000000003</v>
      </c>
      <c r="H329" s="117">
        <f t="shared" si="107"/>
        <v>2.8775000000000004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2.8615000000000004</v>
      </c>
      <c r="H330" s="117">
        <f t="shared" si="107"/>
        <v>2.8765000000000005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2.8605000000000005</v>
      </c>
      <c r="H331" s="117">
        <f t="shared" si="107"/>
        <v>2.8755000000000006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2.8595000000000002</v>
      </c>
      <c r="H332" s="117">
        <f t="shared" si="107"/>
        <v>2.8745000000000003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2.8585000000000003</v>
      </c>
      <c r="H333" s="117">
        <f t="shared" si="107"/>
        <v>2.8735000000000004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2.8575000000000004</v>
      </c>
      <c r="H334" s="117">
        <f t="shared" si="107"/>
        <v>2.8725000000000005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2.8565000000000005</v>
      </c>
      <c r="H335" s="117">
        <f t="shared" si="107"/>
        <v>2.8715000000000006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2.8555000000000006</v>
      </c>
      <c r="H336" s="117">
        <f t="shared" si="107"/>
        <v>2.8705000000000007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2.8545000000000003</v>
      </c>
      <c r="H337" s="117">
        <f t="shared" si="107"/>
        <v>2.8695000000000004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2.8535000000000004</v>
      </c>
      <c r="H338" s="117">
        <f t="shared" si="107"/>
        <v>2.8685000000000005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2.8525000000000005</v>
      </c>
      <c r="H339" s="117">
        <f t="shared" si="107"/>
        <v>2.8675000000000006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2.8515000000000006</v>
      </c>
      <c r="H340" s="117">
        <f t="shared" ref="H340:H376" si="125">$H$63*B340+$H$64</f>
        <v>2.8665000000000007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2.8505000000000007</v>
      </c>
      <c r="H341" s="117">
        <f t="shared" si="125"/>
        <v>2.8655000000000008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2.8495000000000004</v>
      </c>
      <c r="H342" s="117">
        <f t="shared" si="125"/>
        <v>2.8645000000000005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2.8485000000000005</v>
      </c>
      <c r="H343" s="117">
        <f t="shared" si="125"/>
        <v>2.8635000000000006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2.8475000000000006</v>
      </c>
      <c r="H344" s="117">
        <f t="shared" si="125"/>
        <v>2.8625000000000007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2.8465000000000007</v>
      </c>
      <c r="H345" s="117">
        <f t="shared" si="125"/>
        <v>2.8615000000000008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2.8455000000000008</v>
      </c>
      <c r="H346" s="117">
        <f t="shared" si="125"/>
        <v>2.8605000000000009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2.8445000000000005</v>
      </c>
      <c r="H347" s="117">
        <f t="shared" si="125"/>
        <v>2.8595000000000006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2.8435000000000006</v>
      </c>
      <c r="H348" s="117">
        <f t="shared" si="125"/>
        <v>2.8585000000000007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2.8425000000000007</v>
      </c>
      <c r="H349" s="117">
        <f t="shared" si="125"/>
        <v>2.8575000000000008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2.8415000000000008</v>
      </c>
      <c r="H350" s="117">
        <f t="shared" si="125"/>
        <v>2.8565000000000009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2.8405000000000009</v>
      </c>
      <c r="H351" s="117">
        <f t="shared" si="125"/>
        <v>2.855500000000001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2.8395000000000006</v>
      </c>
      <c r="H352" s="117">
        <f t="shared" si="125"/>
        <v>2.8545000000000007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2.8385000000000007</v>
      </c>
      <c r="H353" s="117">
        <f t="shared" si="125"/>
        <v>2.8535000000000008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2.8375000000000008</v>
      </c>
      <c r="H354" s="117">
        <f t="shared" si="125"/>
        <v>2.8525000000000009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2.8365000000000009</v>
      </c>
      <c r="H355" s="117">
        <f t="shared" si="125"/>
        <v>2.851500000000001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2.835500000000001</v>
      </c>
      <c r="H356" s="117">
        <f t="shared" si="125"/>
        <v>2.8505000000000011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2.8345000000000007</v>
      </c>
      <c r="H357" s="117">
        <f t="shared" si="125"/>
        <v>2.8495000000000008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2.8335000000000008</v>
      </c>
      <c r="H358" s="117">
        <f t="shared" si="125"/>
        <v>2.8485000000000009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2.8325000000000009</v>
      </c>
      <c r="H359" s="117">
        <f t="shared" si="125"/>
        <v>2.847500000000001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2.831500000000001</v>
      </c>
      <c r="H360" s="117">
        <f t="shared" si="125"/>
        <v>2.8465000000000011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2.8305000000000011</v>
      </c>
      <c r="H361" s="117">
        <f t="shared" si="125"/>
        <v>2.8455000000000013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2.8295000000000008</v>
      </c>
      <c r="H362" s="117">
        <f t="shared" si="125"/>
        <v>2.8445000000000009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2.8285000000000009</v>
      </c>
      <c r="H363" s="117">
        <f t="shared" si="125"/>
        <v>2.843500000000001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2.827500000000001</v>
      </c>
      <c r="H364" s="117">
        <f t="shared" si="125"/>
        <v>2.8425000000000011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2.8265000000000011</v>
      </c>
      <c r="H365" s="117">
        <f t="shared" si="125"/>
        <v>2.8415000000000012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2.8255000000000012</v>
      </c>
      <c r="H366" s="117">
        <f t="shared" si="125"/>
        <v>2.8405000000000014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2.8245000000000009</v>
      </c>
      <c r="H367" s="117">
        <f t="shared" si="125"/>
        <v>2.839500000000001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2.823500000000001</v>
      </c>
      <c r="H368" s="117">
        <f t="shared" si="125"/>
        <v>2.8385000000000011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2.8225000000000011</v>
      </c>
      <c r="H369" s="117">
        <f t="shared" si="125"/>
        <v>2.8375000000000012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2.8215000000000012</v>
      </c>
      <c r="H370" s="117">
        <f t="shared" si="125"/>
        <v>2.8365000000000014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2.8205000000000013</v>
      </c>
      <c r="H371" s="117">
        <f t="shared" si="125"/>
        <v>2.8355000000000015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2.819500000000001</v>
      </c>
      <c r="H372" s="117">
        <f t="shared" si="125"/>
        <v>2.8345000000000011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2.8185000000000011</v>
      </c>
      <c r="H373" s="117">
        <f t="shared" si="125"/>
        <v>2.8335000000000012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2.8175000000000012</v>
      </c>
      <c r="H374" s="117">
        <f t="shared" si="125"/>
        <v>2.8325000000000014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2.8165000000000013</v>
      </c>
      <c r="H375" s="117">
        <f t="shared" si="125"/>
        <v>2.8315000000000015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2.8155000000000014</v>
      </c>
      <c r="H376" s="117">
        <f t="shared" si="125"/>
        <v>2.8305000000000016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katrin</cp:lastModifiedBy>
  <cp:lastPrinted>2016-05-13T12:10:58Z</cp:lastPrinted>
  <dcterms:created xsi:type="dcterms:W3CDTF">2015-05-15T08:52:42Z</dcterms:created>
  <dcterms:modified xsi:type="dcterms:W3CDTF">2016-05-13T12:11:02Z</dcterms:modified>
</cp:coreProperties>
</file>