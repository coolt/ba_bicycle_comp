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ocs_n_data\DB\ips\e8500_doc\13_appli\application_notes\"/>
    </mc:Choice>
  </mc:AlternateContent>
  <workbookProtection workbookPassword="9051" lockStructure="1"/>
  <bookViews>
    <workbookView xWindow="-15" yWindow="-15" windowWidth="14400" windowHeight="12240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<sst xmlns="http://schemas.openxmlformats.org/spreadsheetml/2006/main" count="1182" uniqueCount="695">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</sst>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ccent1" xfId="9" builtinId="29"/>
    <cellStyle name="Bad" xfId="5" builtinId="27"/>
    <cellStyle name="Calculation" xfId="8" builtinId="22"/>
    <cellStyle name="Good" xfId="2" builtinId="26"/>
    <cellStyle name="Input" xfId="7" builtinId="20"/>
    <cellStyle name="Neutral" xfId="6" builtinId="28"/>
    <cellStyle name="Normal" xfId="0" builtinId="0"/>
    <cellStyle name="Percent" xfId="3" builtinId="5"/>
    <cellStyle name="RowLevel_1" xfId="1" builtinId="1" iLevel="0"/>
    <cellStyle name="Title" xfId="4" builtinId="15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(3.43)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3.4309999999999996</c:v>
                </c:pt>
                <c:pt idx="1">
                  <c:v>3.4309999999999996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(3.36)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3.3579999999999997</c:v>
                </c:pt>
                <c:pt idx="1">
                  <c:v>3.3579999999999997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(2.92)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2.92</c:v>
                </c:pt>
                <c:pt idx="1">
                  <c:v>2.92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1.9065400000000032</c:v>
                </c:pt>
                <c:pt idx="116">
                  <c:v>2.1496300000000037</c:v>
                </c:pt>
                <c:pt idx="117">
                  <c:v>2.2243750000000042</c:v>
                </c:pt>
                <c:pt idx="118">
                  <c:v>2.2822855000000044</c:v>
                </c:pt>
                <c:pt idx="119">
                  <c:v>2.3385125500000039</c:v>
                </c:pt>
                <c:pt idx="120">
                  <c:v>2.3945712550000042</c:v>
                </c:pt>
                <c:pt idx="121">
                  <c:v>2.4506131255000043</c:v>
                </c:pt>
                <c:pt idx="122">
                  <c:v>2.5066533125500041</c:v>
                </c:pt>
                <c:pt idx="123">
                  <c:v>2.5626933312550042</c:v>
                </c:pt>
                <c:pt idx="124">
                  <c:v>2.6187333331255047</c:v>
                </c:pt>
                <c:pt idx="125">
                  <c:v>2.6747733333125483</c:v>
                </c:pt>
                <c:pt idx="126">
                  <c:v>2.6593533333312527</c:v>
                </c:pt>
                <c:pt idx="127">
                  <c:v>2.6367873333331233</c:v>
                </c:pt>
                <c:pt idx="128">
                  <c:v>2.6135067333333102</c:v>
                </c:pt>
                <c:pt idx="129">
                  <c:v>2.5901546733333287</c:v>
                </c:pt>
                <c:pt idx="130">
                  <c:v>2.5667954673333306</c:v>
                </c:pt>
                <c:pt idx="131">
                  <c:v>2.5434355467333307</c:v>
                </c:pt>
                <c:pt idx="132">
                  <c:v>2.5200755546733307</c:v>
                </c:pt>
                <c:pt idx="133">
                  <c:v>2.4967155554673308</c:v>
                </c:pt>
                <c:pt idx="134">
                  <c:v>2.473355555546731</c:v>
                </c:pt>
                <c:pt idx="135">
                  <c:v>2.4499955555546706</c:v>
                </c:pt>
                <c:pt idx="136">
                  <c:v>2.4266355555554648</c:v>
                </c:pt>
                <c:pt idx="137">
                  <c:v>2.4032755555555441</c:v>
                </c:pt>
                <c:pt idx="138">
                  <c:v>2.3799155555555522</c:v>
                </c:pt>
                <c:pt idx="139">
                  <c:v>2.3565555555555533</c:v>
                </c:pt>
                <c:pt idx="140">
                  <c:v>2.333195555555553</c:v>
                </c:pt>
                <c:pt idx="141">
                  <c:v>2.3098355555555532</c:v>
                </c:pt>
                <c:pt idx="142">
                  <c:v>2.2864755555555529</c:v>
                </c:pt>
                <c:pt idx="143">
                  <c:v>2.2631155555555531</c:v>
                </c:pt>
                <c:pt idx="144">
                  <c:v>2.2397555555555533</c:v>
                </c:pt>
                <c:pt idx="145">
                  <c:v>2.216395555555553</c:v>
                </c:pt>
                <c:pt idx="146">
                  <c:v>2.1930355555555532</c:v>
                </c:pt>
                <c:pt idx="147">
                  <c:v>2.1696755555555529</c:v>
                </c:pt>
                <c:pt idx="148">
                  <c:v>2.1463155555555531</c:v>
                </c:pt>
                <c:pt idx="149">
                  <c:v>2.1229555555555533</c:v>
                </c:pt>
                <c:pt idx="150">
                  <c:v>2.0995955555555579</c:v>
                </c:pt>
                <c:pt idx="151">
                  <c:v>2.1182835555555579</c:v>
                </c:pt>
                <c:pt idx="152">
                  <c:v>2.1411763555555581</c:v>
                </c:pt>
                <c:pt idx="153">
                  <c:v>2.1644896355555581</c:v>
                </c:pt>
                <c:pt idx="154">
                  <c:v>2.1878449635555581</c:v>
                </c:pt>
                <c:pt idx="155">
                  <c:v>2.2112044963555584</c:v>
                </c:pt>
                <c:pt idx="156">
                  <c:v>2.2345644496355579</c:v>
                </c:pt>
                <c:pt idx="157">
                  <c:v>2.257924444963558</c:v>
                </c:pt>
                <c:pt idx="158">
                  <c:v>2.2812844444963583</c:v>
                </c:pt>
                <c:pt idx="159">
                  <c:v>2.3046444444496386</c:v>
                </c:pt>
                <c:pt idx="160">
                  <c:v>2.3280044444449661</c:v>
                </c:pt>
                <c:pt idx="161">
                  <c:v>2.3513644444444988</c:v>
                </c:pt>
                <c:pt idx="162">
                  <c:v>2.3747244444444524</c:v>
                </c:pt>
                <c:pt idx="163">
                  <c:v>2.3980844444444478</c:v>
                </c:pt>
                <c:pt idx="164">
                  <c:v>2.4214444444444472</c:v>
                </c:pt>
                <c:pt idx="165">
                  <c:v>2.444804444444447</c:v>
                </c:pt>
                <c:pt idx="166">
                  <c:v>2.4681644444444468</c:v>
                </c:pt>
                <c:pt idx="167">
                  <c:v>2.4915244444444471</c:v>
                </c:pt>
                <c:pt idx="168">
                  <c:v>2.5148844444444469</c:v>
                </c:pt>
                <c:pt idx="169">
                  <c:v>2.5382444444444472</c:v>
                </c:pt>
                <c:pt idx="170">
                  <c:v>2.561604444444447</c:v>
                </c:pt>
                <c:pt idx="171">
                  <c:v>2.5849644444444468</c:v>
                </c:pt>
                <c:pt idx="172">
                  <c:v>2.6083244444444467</c:v>
                </c:pt>
                <c:pt idx="173">
                  <c:v>2.6316844444444469</c:v>
                </c:pt>
                <c:pt idx="174">
                  <c:v>2.6550444444444472</c:v>
                </c:pt>
                <c:pt idx="175">
                  <c:v>2.6784044444444413</c:v>
                </c:pt>
                <c:pt idx="176">
                  <c:v>2.6597164444444412</c:v>
                </c:pt>
                <c:pt idx="177">
                  <c:v>2.6368236444444411</c:v>
                </c:pt>
                <c:pt idx="178">
                  <c:v>2.6135103644444406</c:v>
                </c:pt>
                <c:pt idx="179">
                  <c:v>2.590155036444441</c:v>
                </c:pt>
                <c:pt idx="180">
                  <c:v>2.5667955036444408</c:v>
                </c:pt>
                <c:pt idx="181">
                  <c:v>2.5434355503644408</c:v>
                </c:pt>
                <c:pt idx="182">
                  <c:v>2.5200755550364411</c:v>
                </c:pt>
                <c:pt idx="183">
                  <c:v>2.4967155555036409</c:v>
                </c:pt>
                <c:pt idx="184">
                  <c:v>2.4733555555503606</c:v>
                </c:pt>
                <c:pt idx="185">
                  <c:v>2.4499955555550326</c:v>
                </c:pt>
                <c:pt idx="186">
                  <c:v>2.4266355555555004</c:v>
                </c:pt>
                <c:pt idx="187">
                  <c:v>2.4032755555555467</c:v>
                </c:pt>
                <c:pt idx="188">
                  <c:v>2.3799155555555513</c:v>
                </c:pt>
                <c:pt idx="189">
                  <c:v>2.3565555555555524</c:v>
                </c:pt>
                <c:pt idx="190">
                  <c:v>2.3331955555555521</c:v>
                </c:pt>
                <c:pt idx="191">
                  <c:v>2.3098355555555519</c:v>
                </c:pt>
                <c:pt idx="192">
                  <c:v>2.2864755555555525</c:v>
                </c:pt>
                <c:pt idx="193">
                  <c:v>2.2631155555555522</c:v>
                </c:pt>
                <c:pt idx="194">
                  <c:v>2.2397555555555519</c:v>
                </c:pt>
                <c:pt idx="195">
                  <c:v>2.2163955555555517</c:v>
                </c:pt>
                <c:pt idx="196">
                  <c:v>2.1930355555555523</c:v>
                </c:pt>
                <c:pt idx="197">
                  <c:v>2.169675555555552</c:v>
                </c:pt>
                <c:pt idx="198">
                  <c:v>2.1463155555555518</c:v>
                </c:pt>
                <c:pt idx="199">
                  <c:v>2.1229555555555524</c:v>
                </c:pt>
                <c:pt idx="200">
                  <c:v>2.0995955555555623</c:v>
                </c:pt>
                <c:pt idx="201">
                  <c:v>2.1445635555555618</c:v>
                </c:pt>
                <c:pt idx="202">
                  <c:v>2.1963643555555614</c:v>
                </c:pt>
                <c:pt idx="203">
                  <c:v>2.2488484355555594</c:v>
                </c:pt>
                <c:pt idx="204">
                  <c:v>2.3014008435555589</c:v>
                </c:pt>
                <c:pt idx="205">
                  <c:v>2.3539600843555584</c:v>
                </c:pt>
                <c:pt idx="206">
                  <c:v>2.4065200084355567</c:v>
                </c:pt>
                <c:pt idx="207">
                  <c:v>2.459080000843556</c:v>
                </c:pt>
                <c:pt idx="208">
                  <c:v>2.5116400000843542</c:v>
                </c:pt>
                <c:pt idx="209">
                  <c:v>2.5642000000084337</c:v>
                </c:pt>
                <c:pt idx="210">
                  <c:v>2.61676000000084</c:v>
                </c:pt>
                <c:pt idx="211">
                  <c:v>2.6693200000000803</c:v>
                </c:pt>
                <c:pt idx="212">
                  <c:v>2.7218800000000027</c:v>
                </c:pt>
                <c:pt idx="213">
                  <c:v>2.7744399999999945</c:v>
                </c:pt>
                <c:pt idx="214">
                  <c:v>2.826999999999992</c:v>
                </c:pt>
                <c:pt idx="215">
                  <c:v>2.8795599999999912</c:v>
                </c:pt>
                <c:pt idx="216">
                  <c:v>1.6649559999999992</c:v>
                </c:pt>
                <c:pt idx="217">
                  <c:v>1.5434956</c:v>
                </c:pt>
                <c:pt idx="218">
                  <c:v>1.53134956</c:v>
                </c:pt>
                <c:pt idx="219">
                  <c:v>1.5301349559999999</c:v>
                </c:pt>
                <c:pt idx="220">
                  <c:v>1.5300134956</c:v>
                </c:pt>
                <c:pt idx="221">
                  <c:v>1.53000134956</c:v>
                </c:pt>
                <c:pt idx="222">
                  <c:v>1.530000134956</c:v>
                </c:pt>
                <c:pt idx="223">
                  <c:v>1.5300000134956</c:v>
                </c:pt>
                <c:pt idx="224">
                  <c:v>1.53000000134956</c:v>
                </c:pt>
                <c:pt idx="225">
                  <c:v>1.5300000001349561</c:v>
                </c:pt>
                <c:pt idx="226">
                  <c:v>1.5300000000134957</c:v>
                </c:pt>
                <c:pt idx="227">
                  <c:v>1.5300000000013496</c:v>
                </c:pt>
                <c:pt idx="228">
                  <c:v>1.530000000000135</c:v>
                </c:pt>
                <c:pt idx="229">
                  <c:v>1.5300000000000136</c:v>
                </c:pt>
                <c:pt idx="230">
                  <c:v>1.5300000000000014</c:v>
                </c:pt>
                <c:pt idx="231">
                  <c:v>1.5300000000000002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2.1845600000000061</c:v>
                </c:pt>
                <c:pt idx="202">
                  <c:v>2.2371200000000058</c:v>
                </c:pt>
                <c:pt idx="203">
                  <c:v>2.2896800000000037</c:v>
                </c:pt>
                <c:pt idx="204">
                  <c:v>2.3422400000000034</c:v>
                </c:pt>
                <c:pt idx="205">
                  <c:v>2.3948000000000031</c:v>
                </c:pt>
                <c:pt idx="206">
                  <c:v>2.4473600000000011</c:v>
                </c:pt>
                <c:pt idx="207">
                  <c:v>2.4999200000000008</c:v>
                </c:pt>
                <c:pt idx="208">
                  <c:v>2.5524799999999987</c:v>
                </c:pt>
                <c:pt idx="209">
                  <c:v>2.6050399999999985</c:v>
                </c:pt>
                <c:pt idx="210">
                  <c:v>2.6575999999999964</c:v>
                </c:pt>
                <c:pt idx="211">
                  <c:v>2.7101599999999961</c:v>
                </c:pt>
                <c:pt idx="212">
                  <c:v>2.7627199999999941</c:v>
                </c:pt>
                <c:pt idx="213">
                  <c:v>2.8152799999999938</c:v>
                </c:pt>
                <c:pt idx="214">
                  <c:v>2.8678399999999917</c:v>
                </c:pt>
                <c:pt idx="215">
                  <c:v>2.9203999999999914</c:v>
                </c:pt>
                <c:pt idx="216">
                  <c:v>2.9729599999999894</c:v>
                </c:pt>
                <c:pt idx="217">
                  <c:v>3.0255199999999891</c:v>
                </c:pt>
                <c:pt idx="218">
                  <c:v>3.078079999999987</c:v>
                </c:pt>
                <c:pt idx="219">
                  <c:v>3.1306399999999868</c:v>
                </c:pt>
                <c:pt idx="220">
                  <c:v>3.1831999999999847</c:v>
                </c:pt>
                <c:pt idx="221">
                  <c:v>3.2357599999999844</c:v>
                </c:pt>
                <c:pt idx="222">
                  <c:v>3.2883199999999824</c:v>
                </c:pt>
                <c:pt idx="223">
                  <c:v>3.3408799999999821</c:v>
                </c:pt>
                <c:pt idx="224">
                  <c:v>3.39343999999998</c:v>
                </c:pt>
                <c:pt idx="225">
                  <c:v>3.4460000000000011</c:v>
                </c:pt>
                <c:pt idx="226">
                  <c:v>3.443080000000001</c:v>
                </c:pt>
                <c:pt idx="227">
                  <c:v>3.440160000000001</c:v>
                </c:pt>
                <c:pt idx="228">
                  <c:v>3.437240000000001</c:v>
                </c:pt>
                <c:pt idx="229">
                  <c:v>3.4343200000000009</c:v>
                </c:pt>
                <c:pt idx="230">
                  <c:v>3.4314000000000013</c:v>
                </c:pt>
                <c:pt idx="231">
                  <c:v>3.4284800000000013</c:v>
                </c:pt>
                <c:pt idx="232">
                  <c:v>3.4255600000000013</c:v>
                </c:pt>
                <c:pt idx="233">
                  <c:v>3.4226400000000017</c:v>
                </c:pt>
                <c:pt idx="234">
                  <c:v>3.4197200000000012</c:v>
                </c:pt>
                <c:pt idx="235">
                  <c:v>3.4168000000000016</c:v>
                </c:pt>
                <c:pt idx="236">
                  <c:v>3.4138800000000016</c:v>
                </c:pt>
                <c:pt idx="237">
                  <c:v>3.4109600000000015</c:v>
                </c:pt>
                <c:pt idx="238">
                  <c:v>3.408040000000002</c:v>
                </c:pt>
                <c:pt idx="239">
                  <c:v>3.4051200000000019</c:v>
                </c:pt>
                <c:pt idx="240">
                  <c:v>3.4022000000000019</c:v>
                </c:pt>
                <c:pt idx="241">
                  <c:v>3.3992800000000019</c:v>
                </c:pt>
                <c:pt idx="242">
                  <c:v>3.3963600000000018</c:v>
                </c:pt>
                <c:pt idx="243">
                  <c:v>3.3934400000000022</c:v>
                </c:pt>
                <c:pt idx="244">
                  <c:v>3.3905200000000022</c:v>
                </c:pt>
                <c:pt idx="245">
                  <c:v>3.3876000000000022</c:v>
                </c:pt>
                <c:pt idx="246">
                  <c:v>3.3846800000000021</c:v>
                </c:pt>
                <c:pt idx="247">
                  <c:v>3.3817600000000021</c:v>
                </c:pt>
                <c:pt idx="248">
                  <c:v>3.3788400000000025</c:v>
                </c:pt>
                <c:pt idx="249">
                  <c:v>3.3759200000000025</c:v>
                </c:pt>
                <c:pt idx="250">
                  <c:v>3.3729999999999971</c:v>
                </c:pt>
                <c:pt idx="251">
                  <c:v>3.3759199999999971</c:v>
                </c:pt>
                <c:pt idx="252">
                  <c:v>3.3788399999999972</c:v>
                </c:pt>
                <c:pt idx="253">
                  <c:v>3.3817599999999968</c:v>
                </c:pt>
                <c:pt idx="254">
                  <c:v>3.3846799999999968</c:v>
                </c:pt>
                <c:pt idx="255">
                  <c:v>3.3875999999999968</c:v>
                </c:pt>
                <c:pt idx="256">
                  <c:v>3.3905199999999964</c:v>
                </c:pt>
                <c:pt idx="257">
                  <c:v>3.3934399999999965</c:v>
                </c:pt>
                <c:pt idx="258">
                  <c:v>3.3963599999999965</c:v>
                </c:pt>
                <c:pt idx="259">
                  <c:v>3.3992799999999965</c:v>
                </c:pt>
                <c:pt idx="260">
                  <c:v>3.4021999999999966</c:v>
                </c:pt>
                <c:pt idx="261">
                  <c:v>3.4051199999999961</c:v>
                </c:pt>
                <c:pt idx="262">
                  <c:v>3.4080399999999962</c:v>
                </c:pt>
                <c:pt idx="263">
                  <c:v>3.4109599999999962</c:v>
                </c:pt>
                <c:pt idx="264">
                  <c:v>3.4138799999999963</c:v>
                </c:pt>
                <c:pt idx="265">
                  <c:v>3.4167999999999963</c:v>
                </c:pt>
                <c:pt idx="266">
                  <c:v>3.4197199999999959</c:v>
                </c:pt>
                <c:pt idx="267">
                  <c:v>3.4226399999999959</c:v>
                </c:pt>
                <c:pt idx="268">
                  <c:v>3.4255599999999959</c:v>
                </c:pt>
                <c:pt idx="269">
                  <c:v>3.428479999999996</c:v>
                </c:pt>
                <c:pt idx="270">
                  <c:v>3.431399999999996</c:v>
                </c:pt>
                <c:pt idx="271">
                  <c:v>3.4343199999999956</c:v>
                </c:pt>
                <c:pt idx="272">
                  <c:v>3.4372399999999956</c:v>
                </c:pt>
                <c:pt idx="273">
                  <c:v>3.4401599999999957</c:v>
                </c:pt>
                <c:pt idx="274">
                  <c:v>3.4430799999999953</c:v>
                </c:pt>
                <c:pt idx="275">
                  <c:v>3.4460000000000042</c:v>
                </c:pt>
                <c:pt idx="276">
                  <c:v>3.4430800000000041</c:v>
                </c:pt>
                <c:pt idx="277">
                  <c:v>3.4401600000000041</c:v>
                </c:pt>
                <c:pt idx="278">
                  <c:v>3.4372400000000041</c:v>
                </c:pt>
                <c:pt idx="279">
                  <c:v>3.4343200000000045</c:v>
                </c:pt>
                <c:pt idx="280">
                  <c:v>3.4314000000000044</c:v>
                </c:pt>
                <c:pt idx="281">
                  <c:v>3.4284800000000044</c:v>
                </c:pt>
                <c:pt idx="282">
                  <c:v>3.4255600000000044</c:v>
                </c:pt>
                <c:pt idx="283">
                  <c:v>3.4226400000000043</c:v>
                </c:pt>
                <c:pt idx="284">
                  <c:v>3.4197200000000048</c:v>
                </c:pt>
                <c:pt idx="285">
                  <c:v>3.4168000000000047</c:v>
                </c:pt>
                <c:pt idx="286">
                  <c:v>3.4138800000000047</c:v>
                </c:pt>
                <c:pt idx="287">
                  <c:v>3.4109600000000047</c:v>
                </c:pt>
                <c:pt idx="288">
                  <c:v>3.4080400000000046</c:v>
                </c:pt>
                <c:pt idx="289">
                  <c:v>3.405120000000005</c:v>
                </c:pt>
                <c:pt idx="290">
                  <c:v>3.402200000000005</c:v>
                </c:pt>
                <c:pt idx="291">
                  <c:v>3.399280000000005</c:v>
                </c:pt>
                <c:pt idx="292">
                  <c:v>3.3963600000000054</c:v>
                </c:pt>
                <c:pt idx="293">
                  <c:v>3.3934400000000049</c:v>
                </c:pt>
                <c:pt idx="294">
                  <c:v>3.3905200000000053</c:v>
                </c:pt>
                <c:pt idx="295">
                  <c:v>3.3876000000000053</c:v>
                </c:pt>
                <c:pt idx="296">
                  <c:v>3.3846800000000052</c:v>
                </c:pt>
                <c:pt idx="297">
                  <c:v>3.3817600000000057</c:v>
                </c:pt>
                <c:pt idx="298">
                  <c:v>3.3788400000000056</c:v>
                </c:pt>
                <c:pt idx="299">
                  <c:v>3.3759200000000056</c:v>
                </c:pt>
                <c:pt idx="300">
                  <c:v>3.3730000000000055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1.3560400000000037</c:v>
                </c:pt>
                <c:pt idx="102">
                  <c:v>1.412080000000004</c:v>
                </c:pt>
                <c:pt idx="103">
                  <c:v>1.4681200000000034</c:v>
                </c:pt>
                <c:pt idx="104">
                  <c:v>1.5241600000000037</c:v>
                </c:pt>
                <c:pt idx="105">
                  <c:v>1.580200000000004</c:v>
                </c:pt>
                <c:pt idx="106">
                  <c:v>1.6362400000000035</c:v>
                </c:pt>
                <c:pt idx="107">
                  <c:v>1.6922800000000038</c:v>
                </c:pt>
                <c:pt idx="108">
                  <c:v>1.7483200000000041</c:v>
                </c:pt>
                <c:pt idx="109">
                  <c:v>1.8043600000000035</c:v>
                </c:pt>
                <c:pt idx="110">
                  <c:v>1.8604000000000038</c:v>
                </c:pt>
                <c:pt idx="111">
                  <c:v>1.9164400000000041</c:v>
                </c:pt>
                <c:pt idx="112">
                  <c:v>1.9724800000000036</c:v>
                </c:pt>
                <c:pt idx="113">
                  <c:v>2.0285200000000039</c:v>
                </c:pt>
                <c:pt idx="114">
                  <c:v>2.0845600000000042</c:v>
                </c:pt>
                <c:pt idx="115">
                  <c:v>2.1406000000000036</c:v>
                </c:pt>
                <c:pt idx="116">
                  <c:v>2.1966400000000039</c:v>
                </c:pt>
                <c:pt idx="117">
                  <c:v>2.2526800000000042</c:v>
                </c:pt>
                <c:pt idx="118">
                  <c:v>2.3087200000000045</c:v>
                </c:pt>
                <c:pt idx="119">
                  <c:v>2.364760000000004</c:v>
                </c:pt>
                <c:pt idx="120">
                  <c:v>2.4208000000000043</c:v>
                </c:pt>
                <c:pt idx="121">
                  <c:v>2.4768400000000046</c:v>
                </c:pt>
                <c:pt idx="122">
                  <c:v>2.532880000000004</c:v>
                </c:pt>
                <c:pt idx="123">
                  <c:v>2.5889200000000043</c:v>
                </c:pt>
                <c:pt idx="124">
                  <c:v>2.6449600000000046</c:v>
                </c:pt>
                <c:pt idx="125">
                  <c:v>2.7009999999999974</c:v>
                </c:pt>
                <c:pt idx="126">
                  <c:v>2.6776399999999976</c:v>
                </c:pt>
                <c:pt idx="127">
                  <c:v>2.6542799999999978</c:v>
                </c:pt>
                <c:pt idx="128">
                  <c:v>2.6309199999999975</c:v>
                </c:pt>
                <c:pt idx="129">
                  <c:v>2.6075599999999977</c:v>
                </c:pt>
                <c:pt idx="130">
                  <c:v>2.5841999999999974</c:v>
                </c:pt>
                <c:pt idx="131">
                  <c:v>2.5608399999999976</c:v>
                </c:pt>
                <c:pt idx="132">
                  <c:v>2.5374799999999973</c:v>
                </c:pt>
                <c:pt idx="133">
                  <c:v>2.5141199999999975</c:v>
                </c:pt>
                <c:pt idx="134">
                  <c:v>2.4907599999999976</c:v>
                </c:pt>
                <c:pt idx="135">
                  <c:v>2.4673999999999974</c:v>
                </c:pt>
                <c:pt idx="136">
                  <c:v>2.4440399999999975</c:v>
                </c:pt>
                <c:pt idx="137">
                  <c:v>2.4206799999999973</c:v>
                </c:pt>
                <c:pt idx="138">
                  <c:v>2.3973199999999975</c:v>
                </c:pt>
                <c:pt idx="139">
                  <c:v>2.3739599999999976</c:v>
                </c:pt>
                <c:pt idx="140">
                  <c:v>2.3505999999999974</c:v>
                </c:pt>
                <c:pt idx="141">
                  <c:v>2.3272399999999975</c:v>
                </c:pt>
                <c:pt idx="142">
                  <c:v>2.3038799999999973</c:v>
                </c:pt>
                <c:pt idx="143">
                  <c:v>2.2805199999999974</c:v>
                </c:pt>
                <c:pt idx="144">
                  <c:v>2.2571599999999976</c:v>
                </c:pt>
                <c:pt idx="145">
                  <c:v>2.2337999999999973</c:v>
                </c:pt>
                <c:pt idx="146">
                  <c:v>2.2104399999999975</c:v>
                </c:pt>
                <c:pt idx="147">
                  <c:v>2.1870799999999972</c:v>
                </c:pt>
                <c:pt idx="148">
                  <c:v>2.1637199999999974</c:v>
                </c:pt>
                <c:pt idx="149">
                  <c:v>2.1403599999999976</c:v>
                </c:pt>
                <c:pt idx="150">
                  <c:v>2.1170000000000027</c:v>
                </c:pt>
                <c:pt idx="151">
                  <c:v>2.1403600000000025</c:v>
                </c:pt>
                <c:pt idx="152">
                  <c:v>2.1637200000000028</c:v>
                </c:pt>
                <c:pt idx="153">
                  <c:v>2.1870800000000026</c:v>
                </c:pt>
                <c:pt idx="154">
                  <c:v>2.2104400000000024</c:v>
                </c:pt>
                <c:pt idx="155">
                  <c:v>2.2338000000000027</c:v>
                </c:pt>
                <c:pt idx="156">
                  <c:v>2.2571600000000025</c:v>
                </c:pt>
                <c:pt idx="157">
                  <c:v>2.2805200000000028</c:v>
                </c:pt>
                <c:pt idx="158">
                  <c:v>2.3038800000000026</c:v>
                </c:pt>
                <c:pt idx="159">
                  <c:v>2.3272400000000029</c:v>
                </c:pt>
                <c:pt idx="160">
                  <c:v>2.3506000000000027</c:v>
                </c:pt>
                <c:pt idx="161">
                  <c:v>2.3739600000000025</c:v>
                </c:pt>
                <c:pt idx="162">
                  <c:v>2.3973200000000028</c:v>
                </c:pt>
                <c:pt idx="163">
                  <c:v>2.4206800000000026</c:v>
                </c:pt>
                <c:pt idx="164">
                  <c:v>2.4440400000000029</c:v>
                </c:pt>
                <c:pt idx="165">
                  <c:v>2.4674000000000027</c:v>
                </c:pt>
                <c:pt idx="166">
                  <c:v>2.4907600000000025</c:v>
                </c:pt>
                <c:pt idx="167">
                  <c:v>2.5141200000000028</c:v>
                </c:pt>
                <c:pt idx="168">
                  <c:v>2.5374800000000026</c:v>
                </c:pt>
                <c:pt idx="169">
                  <c:v>2.5608400000000029</c:v>
                </c:pt>
                <c:pt idx="170">
                  <c:v>2.5842000000000027</c:v>
                </c:pt>
                <c:pt idx="171">
                  <c:v>2.6075600000000025</c:v>
                </c:pt>
                <c:pt idx="172">
                  <c:v>2.6309200000000024</c:v>
                </c:pt>
                <c:pt idx="173">
                  <c:v>2.6542800000000026</c:v>
                </c:pt>
                <c:pt idx="174">
                  <c:v>2.6776400000000029</c:v>
                </c:pt>
                <c:pt idx="175">
                  <c:v>2.7009999999999961</c:v>
                </c:pt>
                <c:pt idx="176">
                  <c:v>2.6776399999999967</c:v>
                </c:pt>
                <c:pt idx="177">
                  <c:v>2.6542799999999964</c:v>
                </c:pt>
                <c:pt idx="178">
                  <c:v>2.6309199999999962</c:v>
                </c:pt>
                <c:pt idx="179">
                  <c:v>2.6075599999999968</c:v>
                </c:pt>
                <c:pt idx="180">
                  <c:v>2.5841999999999965</c:v>
                </c:pt>
                <c:pt idx="181">
                  <c:v>2.5608399999999962</c:v>
                </c:pt>
                <c:pt idx="182">
                  <c:v>2.5374799999999968</c:v>
                </c:pt>
                <c:pt idx="183">
                  <c:v>2.5141199999999966</c:v>
                </c:pt>
                <c:pt idx="184">
                  <c:v>2.4907599999999963</c:v>
                </c:pt>
                <c:pt idx="185">
                  <c:v>2.467399999999996</c:v>
                </c:pt>
                <c:pt idx="186">
                  <c:v>2.4440399999999967</c:v>
                </c:pt>
                <c:pt idx="187">
                  <c:v>2.4206799999999964</c:v>
                </c:pt>
                <c:pt idx="188">
                  <c:v>2.3973199999999961</c:v>
                </c:pt>
                <c:pt idx="189">
                  <c:v>2.3739599999999967</c:v>
                </c:pt>
                <c:pt idx="190">
                  <c:v>2.3505999999999965</c:v>
                </c:pt>
                <c:pt idx="191">
                  <c:v>2.3272399999999962</c:v>
                </c:pt>
                <c:pt idx="192">
                  <c:v>2.3038799999999968</c:v>
                </c:pt>
                <c:pt idx="193">
                  <c:v>2.2805199999999965</c:v>
                </c:pt>
                <c:pt idx="194">
                  <c:v>2.2571599999999963</c:v>
                </c:pt>
                <c:pt idx="195">
                  <c:v>2.233799999999996</c:v>
                </c:pt>
                <c:pt idx="196">
                  <c:v>2.2104399999999966</c:v>
                </c:pt>
                <c:pt idx="197">
                  <c:v>2.1870799999999964</c:v>
                </c:pt>
                <c:pt idx="198">
                  <c:v>2.1637199999999961</c:v>
                </c:pt>
                <c:pt idx="199">
                  <c:v>2.1403599999999967</c:v>
                </c:pt>
                <c:pt idx="200">
                  <c:v>2.117000000000008</c:v>
                </c:pt>
                <c:pt idx="201">
                  <c:v>2.1695600000000059</c:v>
                </c:pt>
                <c:pt idx="202">
                  <c:v>2.2221200000000056</c:v>
                </c:pt>
                <c:pt idx="203">
                  <c:v>2.2746800000000036</c:v>
                </c:pt>
                <c:pt idx="204">
                  <c:v>2.3272400000000033</c:v>
                </c:pt>
                <c:pt idx="205">
                  <c:v>2.379800000000003</c:v>
                </c:pt>
                <c:pt idx="206">
                  <c:v>2.432360000000001</c:v>
                </c:pt>
                <c:pt idx="207">
                  <c:v>2.4849200000000007</c:v>
                </c:pt>
                <c:pt idx="208">
                  <c:v>2.5374799999999986</c:v>
                </c:pt>
                <c:pt idx="209">
                  <c:v>2.5900399999999983</c:v>
                </c:pt>
                <c:pt idx="210">
                  <c:v>2.6425999999999963</c:v>
                </c:pt>
                <c:pt idx="211">
                  <c:v>2.695159999999996</c:v>
                </c:pt>
                <c:pt idx="212">
                  <c:v>2.7477199999999939</c:v>
                </c:pt>
                <c:pt idx="213">
                  <c:v>2.8002799999999937</c:v>
                </c:pt>
                <c:pt idx="214">
                  <c:v>2.8528399999999916</c:v>
                </c:pt>
                <c:pt idx="215">
                  <c:v>2.9053999999999913</c:v>
                </c:pt>
                <c:pt idx="216">
                  <c:v>2.9579599999999893</c:v>
                </c:pt>
                <c:pt idx="217">
                  <c:v>3.010519999999989</c:v>
                </c:pt>
                <c:pt idx="218">
                  <c:v>3.0630799999999869</c:v>
                </c:pt>
                <c:pt idx="219">
                  <c:v>3.1156399999999866</c:v>
                </c:pt>
                <c:pt idx="220">
                  <c:v>3.1681999999999846</c:v>
                </c:pt>
                <c:pt idx="221">
                  <c:v>3.2207599999999843</c:v>
                </c:pt>
                <c:pt idx="222">
                  <c:v>3.2733199999999822</c:v>
                </c:pt>
                <c:pt idx="223">
                  <c:v>3.325879999999982</c:v>
                </c:pt>
                <c:pt idx="224">
                  <c:v>3.3784399999999799</c:v>
                </c:pt>
                <c:pt idx="225">
                  <c:v>3.4310000000000009</c:v>
                </c:pt>
                <c:pt idx="226">
                  <c:v>3.4280800000000009</c:v>
                </c:pt>
                <c:pt idx="227">
                  <c:v>3.4251600000000009</c:v>
                </c:pt>
                <c:pt idx="228">
                  <c:v>3.4222400000000008</c:v>
                </c:pt>
                <c:pt idx="229">
                  <c:v>3.4193200000000008</c:v>
                </c:pt>
                <c:pt idx="230">
                  <c:v>3.4164000000000012</c:v>
                </c:pt>
                <c:pt idx="231">
                  <c:v>3.4134800000000012</c:v>
                </c:pt>
                <c:pt idx="232">
                  <c:v>3.4105600000000011</c:v>
                </c:pt>
                <c:pt idx="233">
                  <c:v>3.4076400000000016</c:v>
                </c:pt>
                <c:pt idx="234">
                  <c:v>3.4047200000000011</c:v>
                </c:pt>
                <c:pt idx="235">
                  <c:v>3.4018000000000015</c:v>
                </c:pt>
                <c:pt idx="236">
                  <c:v>3.3988800000000015</c:v>
                </c:pt>
                <c:pt idx="237">
                  <c:v>3.3959600000000014</c:v>
                </c:pt>
                <c:pt idx="238">
                  <c:v>3.3930400000000018</c:v>
                </c:pt>
                <c:pt idx="239">
                  <c:v>3.3901200000000018</c:v>
                </c:pt>
                <c:pt idx="240">
                  <c:v>3.3872000000000018</c:v>
                </c:pt>
                <c:pt idx="241">
                  <c:v>3.3842800000000017</c:v>
                </c:pt>
                <c:pt idx="242">
                  <c:v>3.3813600000000017</c:v>
                </c:pt>
                <c:pt idx="243">
                  <c:v>3.3784400000000021</c:v>
                </c:pt>
                <c:pt idx="244">
                  <c:v>3.3755200000000021</c:v>
                </c:pt>
                <c:pt idx="245">
                  <c:v>3.372600000000002</c:v>
                </c:pt>
                <c:pt idx="246">
                  <c:v>3.369680000000002</c:v>
                </c:pt>
                <c:pt idx="247">
                  <c:v>3.366760000000002</c:v>
                </c:pt>
                <c:pt idx="248">
                  <c:v>3.3638400000000024</c:v>
                </c:pt>
                <c:pt idx="249">
                  <c:v>3.3609200000000024</c:v>
                </c:pt>
                <c:pt idx="250">
                  <c:v>3.357999999999997</c:v>
                </c:pt>
                <c:pt idx="251">
                  <c:v>3.360919999999997</c:v>
                </c:pt>
                <c:pt idx="252">
                  <c:v>3.3638399999999971</c:v>
                </c:pt>
                <c:pt idx="253">
                  <c:v>3.3667599999999966</c:v>
                </c:pt>
                <c:pt idx="254">
                  <c:v>3.3696799999999967</c:v>
                </c:pt>
                <c:pt idx="255">
                  <c:v>3.3725999999999967</c:v>
                </c:pt>
                <c:pt idx="256">
                  <c:v>3.3755199999999963</c:v>
                </c:pt>
                <c:pt idx="257">
                  <c:v>3.3784399999999963</c:v>
                </c:pt>
                <c:pt idx="258">
                  <c:v>3.3813599999999964</c:v>
                </c:pt>
                <c:pt idx="259">
                  <c:v>3.3842799999999964</c:v>
                </c:pt>
                <c:pt idx="260">
                  <c:v>3.3871999999999964</c:v>
                </c:pt>
                <c:pt idx="261">
                  <c:v>3.390119999999996</c:v>
                </c:pt>
                <c:pt idx="262">
                  <c:v>3.3930399999999961</c:v>
                </c:pt>
                <c:pt idx="263">
                  <c:v>3.3959599999999961</c:v>
                </c:pt>
                <c:pt idx="264">
                  <c:v>3.3988799999999961</c:v>
                </c:pt>
                <c:pt idx="265">
                  <c:v>3.4017999999999962</c:v>
                </c:pt>
                <c:pt idx="266">
                  <c:v>3.4047199999999957</c:v>
                </c:pt>
                <c:pt idx="267">
                  <c:v>3.4076399999999958</c:v>
                </c:pt>
                <c:pt idx="268">
                  <c:v>3.4105599999999958</c:v>
                </c:pt>
                <c:pt idx="269">
                  <c:v>3.4134799999999959</c:v>
                </c:pt>
                <c:pt idx="270">
                  <c:v>3.4163999999999959</c:v>
                </c:pt>
                <c:pt idx="271">
                  <c:v>3.4193199999999955</c:v>
                </c:pt>
                <c:pt idx="272">
                  <c:v>3.4222399999999955</c:v>
                </c:pt>
                <c:pt idx="273">
                  <c:v>3.4251599999999955</c:v>
                </c:pt>
                <c:pt idx="274">
                  <c:v>3.4280799999999951</c:v>
                </c:pt>
                <c:pt idx="275">
                  <c:v>3.431000000000004</c:v>
                </c:pt>
                <c:pt idx="276">
                  <c:v>3.428080000000004</c:v>
                </c:pt>
                <c:pt idx="277">
                  <c:v>3.425160000000004</c:v>
                </c:pt>
                <c:pt idx="278">
                  <c:v>3.4222400000000039</c:v>
                </c:pt>
                <c:pt idx="279">
                  <c:v>3.4193200000000044</c:v>
                </c:pt>
                <c:pt idx="280">
                  <c:v>3.4164000000000043</c:v>
                </c:pt>
                <c:pt idx="281">
                  <c:v>3.4134800000000043</c:v>
                </c:pt>
                <c:pt idx="282">
                  <c:v>3.4105600000000043</c:v>
                </c:pt>
                <c:pt idx="283">
                  <c:v>3.4076400000000042</c:v>
                </c:pt>
                <c:pt idx="284">
                  <c:v>3.4047200000000046</c:v>
                </c:pt>
                <c:pt idx="285">
                  <c:v>3.4018000000000046</c:v>
                </c:pt>
                <c:pt idx="286">
                  <c:v>3.3988800000000046</c:v>
                </c:pt>
                <c:pt idx="287">
                  <c:v>3.3959600000000045</c:v>
                </c:pt>
                <c:pt idx="288">
                  <c:v>3.3930400000000045</c:v>
                </c:pt>
                <c:pt idx="289">
                  <c:v>3.3901200000000049</c:v>
                </c:pt>
                <c:pt idx="290">
                  <c:v>3.3872000000000049</c:v>
                </c:pt>
                <c:pt idx="291">
                  <c:v>3.3842800000000048</c:v>
                </c:pt>
                <c:pt idx="292">
                  <c:v>3.3813600000000053</c:v>
                </c:pt>
                <c:pt idx="293">
                  <c:v>3.3784400000000048</c:v>
                </c:pt>
                <c:pt idx="294">
                  <c:v>3.3755200000000052</c:v>
                </c:pt>
                <c:pt idx="295">
                  <c:v>3.3726000000000051</c:v>
                </c:pt>
                <c:pt idx="296">
                  <c:v>3.3696800000000051</c:v>
                </c:pt>
                <c:pt idx="297">
                  <c:v>3.3667600000000055</c:v>
                </c:pt>
                <c:pt idx="298">
                  <c:v>3.3638400000000055</c:v>
                </c:pt>
                <c:pt idx="299">
                  <c:v>3.3609200000000055</c:v>
                </c:pt>
                <c:pt idx="300">
                  <c:v>3.3580000000000054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3.7309999999999994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3.7309999999999994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3.7309999999999994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20984"/>
        <c:axId val="230221376"/>
      </c:scatterChart>
      <c:valAx>
        <c:axId val="230220984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30221376"/>
        <c:crosses val="autoZero"/>
        <c:crossBetween val="midCat"/>
        <c:majorUnit val="1"/>
      </c:valAx>
      <c:valAx>
        <c:axId val="2302213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230220984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/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85725</xdr:rowOff>
        </xdr:from>
        <xdr:to>
          <xdr:col>10</xdr:col>
          <xdr:colOff>3200400</xdr:colOff>
          <xdr:row>4</xdr:row>
          <xdr:rowOff>142875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7846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38100</xdr:rowOff>
        </xdr:from>
        <xdr:to>
          <xdr:col>10</xdr:col>
          <xdr:colOff>1809750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tabSelected="1" view="pageBreakPreview" zoomScale="86" zoomScaleNormal="89" zoomScaleSheetLayoutView="86" workbookViewId="0">
      <pane ySplit="7" topLeftCell="A8" activePane="bottomLeft" state="frozen"/>
      <selection activeCell="B148" sqref="B148"/>
      <selection pane="bottomLeft" activeCell="B6" sqref="B6:K6"/>
    </sheetView>
  </sheetViews>
  <sheetFormatPr defaultRowHeight="15" x14ac:dyDescent="0.25"/>
  <cols>
    <col min="1" max="1" width="60.42578125" style="55" bestFit="1" customWidth="1"/>
    <col min="2" max="2" width="24.7109375" style="103" bestFit="1" customWidth="1"/>
    <col min="3" max="3" width="7.42578125" style="55" customWidth="1"/>
    <col min="4" max="4" width="40.5703125" style="55" customWidth="1"/>
    <col min="5" max="5" width="13.140625" style="55" bestFit="1" customWidth="1"/>
    <col min="6" max="6" width="54.7109375" style="104" customWidth="1"/>
    <col min="7" max="7" width="49.7109375" style="104" customWidth="1"/>
    <col min="8" max="8" width="12.7109375" style="54" hidden="1" customWidth="1"/>
    <col min="9" max="9" width="12.7109375" style="55" hidden="1" customWidth="1"/>
    <col min="10" max="10" width="10" style="55" hidden="1" customWidth="1"/>
    <col min="11" max="11" width="49.7109375" style="175" customWidth="1"/>
    <col min="12" max="16384" width="9.140625" style="56"/>
  </cols>
  <sheetData>
    <row r="1" spans="1:12" ht="34.5" thickBot="1" x14ac:dyDescent="0.3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.75" x14ac:dyDescent="0.25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25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25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OK</v>
      </c>
      <c r="F4" s="211"/>
      <c r="G4" s="214"/>
      <c r="H4" s="214"/>
      <c r="I4" s="214"/>
      <c r="J4" s="214"/>
      <c r="K4" s="215"/>
    </row>
    <row r="5" spans="1:12" x14ac:dyDescent="0.25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.75" thickBot="1" x14ac:dyDescent="0.3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.75" thickBot="1" x14ac:dyDescent="0.3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4" collapsed="1" thickBot="1" x14ac:dyDescent="0.3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25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25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">
      <c r="A11" s="64" t="s">
        <v>60</v>
      </c>
      <c r="B11" s="107">
        <v>0.8</v>
      </c>
      <c r="C11" s="65" t="s">
        <v>63</v>
      </c>
      <c r="D11" s="66" t="s">
        <v>115</v>
      </c>
      <c r="E11" s="65" t="str">
        <f>HLOOKUP(B11,constants!B2:N4,3,FALSE)</f>
        <v>0x06</v>
      </c>
      <c r="F11" s="67" t="str">
        <f>IF(B10="TEG",IF(B11=0.5,messages!A77,messages!A49),IF(B10="Other",messages!A77,IF(settings!B11&lt;constants!G2,messages!A50,IF(settings!B11&gt;constants!I2,messages!A50,messages!A77))))</f>
        <v>OK</v>
      </c>
      <c r="G11" s="67"/>
      <c r="H11" s="128"/>
      <c r="I11" s="76"/>
      <c r="J11" s="76"/>
      <c r="K11" s="173"/>
    </row>
    <row r="12" spans="1:12" ht="15.75" thickBot="1" x14ac:dyDescent="0.3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25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25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">
      <c r="A15" s="68" t="s">
        <v>158</v>
      </c>
      <c r="B15" s="125">
        <v>3.6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0x2E</v>
      </c>
      <c r="F15" s="71" t="str">
        <f>IF(B15&gt;constants!D67,messages!A13,messages!A77)</f>
        <v>OK</v>
      </c>
      <c r="G15" s="71"/>
      <c r="H15" s="130">
        <f>(TRUNC(B15/constants!D64-1)+1)</f>
        <v>46</v>
      </c>
      <c r="I15" s="77">
        <v>1</v>
      </c>
      <c r="J15" s="77"/>
      <c r="K15" s="173"/>
    </row>
    <row r="16" spans="1:12" s="62" customFormat="1" x14ac:dyDescent="0.25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25">
      <c r="A17" s="59" t="str">
        <f>IF(B14=constants!C8,"Unused","HRV resistivity (Rteg)")</f>
        <v>Unused</v>
      </c>
      <c r="B17" s="106">
        <v>300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25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30.75" thickBot="1" x14ac:dyDescent="0.3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25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25">
      <c r="A21" s="59" t="s">
        <v>674</v>
      </c>
      <c r="B21" s="106">
        <v>0.5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25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25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25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.75" thickBot="1" x14ac:dyDescent="0.3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.75" thickBot="1" x14ac:dyDescent="0.3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25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25">
      <c r="A28" s="157" t="s">
        <v>118</v>
      </c>
      <c r="B28" s="106">
        <v>4.7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25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84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25">
      <c r="A30" s="157" t="s">
        <v>137</v>
      </c>
      <c r="B30" s="106">
        <v>128</v>
      </c>
      <c r="C30" s="80" t="s">
        <v>39</v>
      </c>
      <c r="D30" s="75" t="s">
        <v>127</v>
      </c>
      <c r="E30" s="74" t="str">
        <f>VLOOKUP(B30,constants!B51:D58,3,FALSE)</f>
        <v>0x03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128 ms</v>
      </c>
      <c r="H30" s="127"/>
      <c r="I30" s="74"/>
      <c r="J30" s="74"/>
      <c r="K30" s="173"/>
    </row>
    <row r="31" spans="1:11" ht="30" customHeight="1" x14ac:dyDescent="0.25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25">
      <c r="A32" s="157" t="s">
        <v>501</v>
      </c>
      <c r="B32" s="105">
        <f>B30/B31</f>
        <v>1.5625E-2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30.75" thickBot="1" x14ac:dyDescent="0.3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4" collapsed="1" thickBot="1" x14ac:dyDescent="0.3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25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30" x14ac:dyDescent="0.25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25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30.75" thickBot="1" x14ac:dyDescent="0.3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.75" thickBot="1" x14ac:dyDescent="0.3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25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25">
      <c r="A41" s="59" t="s">
        <v>158</v>
      </c>
      <c r="B41" s="84">
        <f>B15</f>
        <v>3.6</v>
      </c>
      <c r="C41" s="85" t="s">
        <v>0</v>
      </c>
      <c r="D41" s="86" t="s">
        <v>28</v>
      </c>
      <c r="E41" s="74" t="str">
        <f>IF(H41&gt;9,"0x"&amp;DEC2HEX(H41),"0x0"&amp;DEC2HEX(H41))</f>
        <v>0x2E</v>
      </c>
      <c r="F41" s="158" t="str">
        <f>IF(B41&lt;=B43+3*constants!C64,messages!A17,messages!A77)</f>
        <v>OK</v>
      </c>
      <c r="G41" s="158" t="s">
        <v>12</v>
      </c>
      <c r="H41" s="127">
        <f>H15</f>
        <v>46</v>
      </c>
      <c r="I41" s="74">
        <v>1</v>
      </c>
      <c r="J41" s="74"/>
      <c r="K41" s="173"/>
    </row>
    <row r="42" spans="1:11" ht="30" customHeight="1" x14ac:dyDescent="0.25">
      <c r="A42" s="59" t="s">
        <v>11</v>
      </c>
      <c r="B42" s="106">
        <v>3</v>
      </c>
      <c r="C42" s="80" t="s">
        <v>0</v>
      </c>
      <c r="D42" s="75" t="s">
        <v>29</v>
      </c>
      <c r="E42" s="74" t="str">
        <f>IF(H42&gt;9,"0x"&amp;DEC2HEX(H42),"0x0"&amp;DEC2HEX(H42))</f>
        <v>0x27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39</v>
      </c>
      <c r="I42" s="74">
        <v>1</v>
      </c>
      <c r="J42" s="74"/>
      <c r="K42" s="173"/>
    </row>
    <row r="43" spans="1:11" ht="30" customHeight="1" thickBot="1" x14ac:dyDescent="0.3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.75" thickBot="1" x14ac:dyDescent="0.3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25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45" x14ac:dyDescent="0.25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25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25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25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25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30" x14ac:dyDescent="0.25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30" x14ac:dyDescent="0.25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30" x14ac:dyDescent="0.25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30" x14ac:dyDescent="0.25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25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.75" thickBot="1" x14ac:dyDescent="0.3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25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25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.75" x14ac:dyDescent="0.25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25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.75" thickBot="1" x14ac:dyDescent="0.3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25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30" x14ac:dyDescent="0.25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25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.75" thickBot="1" x14ac:dyDescent="0.3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25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30" x14ac:dyDescent="0.25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30" x14ac:dyDescent="0.25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30" x14ac:dyDescent="0.25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2.8170906978654413</v>
      </c>
      <c r="C73" s="82" t="s">
        <v>0</v>
      </c>
      <c r="D73" s="78" t="s">
        <v>186</v>
      </c>
      <c r="E73" s="76" t="str">
        <f>IF(H73&gt;15,"0x"&amp;DEC2HEX(H73),"0x0"&amp;DEC2HEX(H73))</f>
        <v>0x24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OK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36</v>
      </c>
      <c r="I73" s="76">
        <v>1</v>
      </c>
      <c r="J73" s="76"/>
      <c r="K73" s="173"/>
    </row>
    <row r="74" spans="1:11" ht="15.75" thickBot="1" x14ac:dyDescent="0.3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25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3.5259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0x2D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45</v>
      </c>
      <c r="I76" s="76">
        <v>1</v>
      </c>
      <c r="J76" s="76"/>
      <c r="K76" s="173"/>
    </row>
    <row r="77" spans="1:11" ht="15.75" thickBot="1" x14ac:dyDescent="0.3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25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30" x14ac:dyDescent="0.25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30.75" thickBot="1" x14ac:dyDescent="0.3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4" collapsed="1" thickBot="1" x14ac:dyDescent="0.3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25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.75" x14ac:dyDescent="0.25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25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25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.75" x14ac:dyDescent="0.25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.75" x14ac:dyDescent="0.25">
      <c r="A87" s="189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.75" x14ac:dyDescent="0.25">
      <c r="A88" s="189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190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.75" x14ac:dyDescent="0.25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190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25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.75" x14ac:dyDescent="0.25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.75" x14ac:dyDescent="0.25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25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.75" x14ac:dyDescent="0.25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.75" x14ac:dyDescent="0.25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.75" x14ac:dyDescent="0.25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25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25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25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25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25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25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25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.75" x14ac:dyDescent="0.25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.75" x14ac:dyDescent="0.25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9.5" thickBot="1" x14ac:dyDescent="0.3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25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.75" x14ac:dyDescent="0.25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.75" x14ac:dyDescent="0.25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.75" x14ac:dyDescent="0.25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45" x14ac:dyDescent="0.25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45" x14ac:dyDescent="0.25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45" x14ac:dyDescent="0.25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.75" x14ac:dyDescent="0.25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.75" x14ac:dyDescent="0.25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9.5" thickBot="1" x14ac:dyDescent="0.3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4" collapsed="1" thickBot="1" x14ac:dyDescent="0.3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25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30" x14ac:dyDescent="0.25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.75" x14ac:dyDescent="0.25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.75" x14ac:dyDescent="0.25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.75" x14ac:dyDescent="0.25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25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30" x14ac:dyDescent="0.25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30" x14ac:dyDescent="0.25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4" thickBot="1" x14ac:dyDescent="0.3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25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.75" x14ac:dyDescent="0.25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.75" x14ac:dyDescent="0.25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.75" x14ac:dyDescent="0.25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.75" x14ac:dyDescent="0.25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.75" x14ac:dyDescent="0.25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.75" x14ac:dyDescent="0.25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.75" x14ac:dyDescent="0.25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.75" x14ac:dyDescent="0.25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.75" x14ac:dyDescent="0.25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.75" x14ac:dyDescent="0.25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.75" x14ac:dyDescent="0.25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.75" x14ac:dyDescent="0.25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.75" x14ac:dyDescent="0.25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.75" x14ac:dyDescent="0.25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.75" x14ac:dyDescent="0.25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.75" x14ac:dyDescent="0.25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.75" x14ac:dyDescent="0.25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.75" x14ac:dyDescent="0.25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.75" x14ac:dyDescent="0.25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.75" x14ac:dyDescent="0.25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.75" x14ac:dyDescent="0.25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.75" x14ac:dyDescent="0.25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.75" x14ac:dyDescent="0.25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.75" x14ac:dyDescent="0.25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.75" x14ac:dyDescent="0.25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.75" x14ac:dyDescent="0.25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9.5" thickBot="1" x14ac:dyDescent="0.3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25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66675</xdr:colOff>
                <xdr:row>1</xdr:row>
                <xdr:rowOff>85725</xdr:rowOff>
              </from>
              <to>
                <xdr:col>10</xdr:col>
                <xdr:colOff>3200400</xdr:colOff>
                <xdr:row>4</xdr:row>
                <xdr:rowOff>142875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view="pageBreakPreview" zoomScale="115" zoomScaleNormal="130" zoomScaleSheetLayoutView="115" workbookViewId="0">
      <pane ySplit="2" topLeftCell="A3" activePane="bottomLeft" state="frozen"/>
      <selection activeCell="B148" sqref="B148"/>
      <selection pane="bottomLeft" activeCell="F3" sqref="F3"/>
    </sheetView>
  </sheetViews>
  <sheetFormatPr defaultColWidth="27.7109375" defaultRowHeight="15" x14ac:dyDescent="0.25"/>
  <cols>
    <col min="1" max="1" width="32.28515625" style="3" customWidth="1"/>
    <col min="2" max="2" width="12.7109375" style="172" customWidth="1"/>
    <col min="3" max="3" width="25.85546875" style="3" customWidth="1"/>
    <col min="4" max="4" width="10.42578125" style="172" customWidth="1"/>
    <col min="5" max="5" width="27.7109375" style="3" hidden="1" customWidth="1"/>
    <col min="6" max="7" width="10.7109375" style="172" customWidth="1"/>
    <col min="8" max="8" width="27.7109375" style="2" hidden="1" customWidth="1"/>
    <col min="9" max="9" width="29.7109375" style="3" customWidth="1"/>
    <col min="10" max="11" width="27.7109375" style="3"/>
    <col min="12" max="15" width="27.7109375" style="19" hidden="1" customWidth="1"/>
    <col min="16" max="16384" width="27.7109375" style="19"/>
  </cols>
  <sheetData>
    <row r="1" spans="1:16" ht="46.5" x14ac:dyDescent="0.7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OK</v>
      </c>
      <c r="J1" s="232"/>
      <c r="K1" s="167"/>
      <c r="L1" s="148"/>
      <c r="M1" s="148"/>
      <c r="N1" s="148"/>
      <c r="O1" s="148"/>
      <c r="P1" s="148"/>
    </row>
    <row r="2" spans="1:16" ht="24" x14ac:dyDescent="0.25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25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23" t="str">
        <f>VLOOKUP(VALUE(MID(H3,6,3)),constants!A51:C58,3,FALSE)&amp;" ms"</f>
        <v>8192 ms</v>
      </c>
      <c r="J3" s="223"/>
      <c r="K3" s="224"/>
      <c r="L3" s="145"/>
      <c r="M3" s="145"/>
      <c r="N3" s="145"/>
      <c r="O3" s="145"/>
      <c r="P3" s="145"/>
    </row>
    <row r="4" spans="1:16" x14ac:dyDescent="0.25">
      <c r="A4" s="151" t="s">
        <v>293</v>
      </c>
      <c r="B4" s="171" t="s">
        <v>294</v>
      </c>
      <c r="C4" s="6" t="s">
        <v>127</v>
      </c>
      <c r="D4" s="171" t="str">
        <f>settings!E30</f>
        <v>0x03</v>
      </c>
      <c r="E4" s="168"/>
      <c r="F4" s="159"/>
      <c r="G4" s="146" t="str">
        <f t="shared" si="0"/>
        <v>0x03</v>
      </c>
      <c r="H4" s="150" t="str">
        <f t="shared" ref="H4:H28" si="1">TEXT(HEX2BIN(MID(G4,3,2)),"00000000")</f>
        <v>00000011</v>
      </c>
      <c r="I4" s="223" t="str">
        <f>VLOOKUP(VALUE(MID(H4,6,3)),constants!A51:B58,2,FALSE)&amp;" ms"</f>
        <v>128 ms</v>
      </c>
      <c r="J4" s="223"/>
      <c r="K4" s="224"/>
      <c r="L4" s="145"/>
      <c r="M4" s="145"/>
      <c r="N4" s="145"/>
      <c r="O4" s="145"/>
      <c r="P4" s="145"/>
    </row>
    <row r="5" spans="1:16" x14ac:dyDescent="0.25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23" t="str">
        <f>VLOOKUP(BIN2DEC(MID(H5,6,3)),constants!A78:B85,2,FALSE)&amp;" ms"</f>
        <v>16 ms</v>
      </c>
      <c r="J5" s="223"/>
      <c r="K5" s="224"/>
      <c r="L5" s="145"/>
      <c r="M5" s="145"/>
      <c r="N5" s="145"/>
      <c r="O5" s="145"/>
      <c r="P5" s="145"/>
    </row>
    <row r="6" spans="1:16" x14ac:dyDescent="0.25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23" t="str">
        <f>VLOOKUP(BIN2DEC(MID(H6,6,3)),constants!A88:B95,2,FALSE)&amp;" ms"</f>
        <v>16384 ms</v>
      </c>
      <c r="J6" s="223"/>
      <c r="K6" s="224"/>
      <c r="L6" s="145"/>
      <c r="M6" s="145"/>
      <c r="N6" s="145"/>
      <c r="O6" s="145"/>
      <c r="P6" s="145"/>
    </row>
    <row r="7" spans="1:16" x14ac:dyDescent="0.25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25" t="str">
        <f>"v_hrv_min: "&amp;TEXT((BIN2DEC(MID(H7,3,6))+1)*constants!C64,"0.000")&amp;" V (TYP)"</f>
        <v>v_hrv_min: 0.146 V (TYP)</v>
      </c>
      <c r="K7" s="226"/>
      <c r="L7" s="145"/>
      <c r="M7" s="145"/>
      <c r="N7" s="145"/>
      <c r="O7" s="145"/>
      <c r="P7" s="145"/>
    </row>
    <row r="8" spans="1:16" x14ac:dyDescent="0.25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25" t="str">
        <f>(BIN2DEC(MID(H8,5,4))+1)&amp;" µA"</f>
        <v>14 µA</v>
      </c>
      <c r="J8" s="225"/>
      <c r="K8" s="226"/>
      <c r="L8" s="145"/>
      <c r="M8" s="145"/>
      <c r="N8" s="145"/>
      <c r="O8" s="145"/>
      <c r="P8" s="145"/>
    </row>
    <row r="9" spans="1:16" x14ac:dyDescent="0.25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25">
      <c r="A10" s="151" t="s">
        <v>305</v>
      </c>
      <c r="B10" s="171" t="s">
        <v>306</v>
      </c>
      <c r="C10" s="6" t="s">
        <v>28</v>
      </c>
      <c r="D10" s="171" t="str">
        <f>settings!E41</f>
        <v>0x2E</v>
      </c>
      <c r="E10" s="168"/>
      <c r="F10" s="159"/>
      <c r="G10" s="146" t="str">
        <f t="shared" si="0"/>
        <v>0x2E</v>
      </c>
      <c r="H10" s="150" t="str">
        <f t="shared" si="1"/>
        <v>00101110</v>
      </c>
      <c r="I10" s="225" t="str">
        <f>TEXT((BIN2DEC(MID(H10,3,6))+1)*constants!$C$64,"0.000")&amp;" V (TYP)"</f>
        <v>3.431 V (TYP)</v>
      </c>
      <c r="J10" s="225"/>
      <c r="K10" s="226"/>
      <c r="L10" s="145">
        <f t="shared" ref="L10:L16" si="2">BIN2DEC(H10)</f>
        <v>46</v>
      </c>
      <c r="M10" s="145"/>
      <c r="N10" s="145"/>
      <c r="O10" s="145"/>
      <c r="P10" s="145"/>
    </row>
    <row r="11" spans="1:16" x14ac:dyDescent="0.25">
      <c r="A11" s="151" t="s">
        <v>307</v>
      </c>
      <c r="B11" s="171" t="s">
        <v>308</v>
      </c>
      <c r="C11" s="6" t="s">
        <v>188</v>
      </c>
      <c r="D11" s="171" t="str">
        <f>settings!E76</f>
        <v>0x2D</v>
      </c>
      <c r="E11" s="168"/>
      <c r="F11" s="159"/>
      <c r="G11" s="146" t="str">
        <f t="shared" si="0"/>
        <v>0x2D</v>
      </c>
      <c r="H11" s="150" t="str">
        <f t="shared" si="1"/>
        <v>00101101</v>
      </c>
      <c r="I11" s="225" t="str">
        <f>TEXT((BIN2DEC(MID(H11,3,6))+1)*constants!$C$64,"0.000")&amp;" V (TYP)"</f>
        <v>3.358 V (TYP)</v>
      </c>
      <c r="J11" s="225"/>
      <c r="K11" s="226"/>
      <c r="L11" s="145">
        <f t="shared" si="2"/>
        <v>45</v>
      </c>
      <c r="M11" s="145"/>
      <c r="N11" s="145"/>
      <c r="O11" s="145"/>
      <c r="P11" s="145"/>
    </row>
    <row r="12" spans="1:16" x14ac:dyDescent="0.25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/>
      <c r="G12" s="146" t="str">
        <f t="shared" si="0"/>
        <v>0x1C</v>
      </c>
      <c r="H12" s="150" t="str">
        <f t="shared" si="1"/>
        <v>00011100</v>
      </c>
      <c r="I12" s="225" t="str">
        <f>TEXT((BIN2DEC(MID(H12,3,6))+1)*constants!$C$64,"0.000")&amp;" V (TYP)"</f>
        <v>2.117 V (TYP)</v>
      </c>
      <c r="J12" s="225"/>
      <c r="K12" s="226"/>
      <c r="L12" s="145">
        <f t="shared" si="2"/>
        <v>28</v>
      </c>
      <c r="M12" s="145"/>
      <c r="N12" s="145"/>
      <c r="O12" s="145"/>
      <c r="P12" s="145"/>
    </row>
    <row r="13" spans="1:16" x14ac:dyDescent="0.25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/>
      <c r="G13" s="146" t="str">
        <f t="shared" si="0"/>
        <v>0x1A</v>
      </c>
      <c r="H13" s="150" t="str">
        <f t="shared" si="1"/>
        <v>00011010</v>
      </c>
      <c r="I13" s="225" t="str">
        <f>TEXT((BIN2DEC(MID(H13,3,6))+1)*constants!$C$64,"0.000")&amp;" V (TYP)"</f>
        <v>1.971 V (TYP)</v>
      </c>
      <c r="J13" s="225"/>
      <c r="K13" s="226"/>
      <c r="L13" s="145">
        <f t="shared" si="2"/>
        <v>26</v>
      </c>
      <c r="M13" s="145"/>
      <c r="N13" s="145"/>
      <c r="O13" s="145"/>
      <c r="P13" s="145"/>
    </row>
    <row r="14" spans="1:16" x14ac:dyDescent="0.25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/>
      <c r="G14" s="146" t="str">
        <f t="shared" si="0"/>
        <v>0x19</v>
      </c>
      <c r="H14" s="150" t="str">
        <f t="shared" si="1"/>
        <v>00011001</v>
      </c>
      <c r="I14" s="225" t="str">
        <f>TEXT((BIN2DEC(MID(H14,3,6))+1)*constants!$C$64,"0.000")&amp;" V (TYP)"</f>
        <v>1.898 V (TYP)</v>
      </c>
      <c r="J14" s="225"/>
      <c r="K14" s="226"/>
      <c r="L14" s="145">
        <f t="shared" si="2"/>
        <v>25</v>
      </c>
      <c r="M14" s="145"/>
      <c r="N14" s="145"/>
      <c r="O14" s="145"/>
      <c r="P14" s="145"/>
    </row>
    <row r="15" spans="1:16" x14ac:dyDescent="0.25">
      <c r="A15" s="151" t="s">
        <v>315</v>
      </c>
      <c r="B15" s="171" t="s">
        <v>316</v>
      </c>
      <c r="C15" s="6" t="s">
        <v>29</v>
      </c>
      <c r="D15" s="171" t="str">
        <f>settings!E42</f>
        <v>0x27</v>
      </c>
      <c r="E15" s="168"/>
      <c r="F15" s="159"/>
      <c r="G15" s="146" t="str">
        <f t="shared" si="0"/>
        <v>0x27</v>
      </c>
      <c r="H15" s="150" t="str">
        <f t="shared" si="1"/>
        <v>00100111</v>
      </c>
      <c r="I15" s="225" t="str">
        <f>TEXT((BIN2DEC(MID(H15,3,6))+1)*constants!$C$64,"0.000")&amp;" V (TYP)"</f>
        <v>2.920 V (TYP)</v>
      </c>
      <c r="J15" s="225"/>
      <c r="K15" s="226"/>
      <c r="L15" s="145">
        <f t="shared" si="2"/>
        <v>39</v>
      </c>
      <c r="M15" s="145"/>
      <c r="N15" s="145"/>
      <c r="O15" s="145"/>
      <c r="P15" s="145"/>
    </row>
    <row r="16" spans="1:16" x14ac:dyDescent="0.25">
      <c r="A16" s="151" t="s">
        <v>317</v>
      </c>
      <c r="B16" s="171" t="s">
        <v>318</v>
      </c>
      <c r="C16" s="6" t="s">
        <v>186</v>
      </c>
      <c r="D16" s="171" t="str">
        <f>settings!E73</f>
        <v>0x24</v>
      </c>
      <c r="E16" s="168"/>
      <c r="F16" s="159"/>
      <c r="G16" s="146" t="str">
        <f t="shared" si="0"/>
        <v>0x24</v>
      </c>
      <c r="H16" s="150" t="str">
        <f t="shared" si="1"/>
        <v>00100100</v>
      </c>
      <c r="I16" s="225" t="str">
        <f>TEXT((BIN2DEC(MID(H16,3,6))+1)*constants!$C$64,"0.000")&amp;" V (TYP)"</f>
        <v>2.701 V (TYP)</v>
      </c>
      <c r="J16" s="225"/>
      <c r="K16" s="226"/>
      <c r="L16" s="145">
        <f t="shared" si="2"/>
        <v>36</v>
      </c>
      <c r="M16" s="145"/>
      <c r="N16" s="145"/>
      <c r="O16" s="145"/>
      <c r="P16" s="145"/>
    </row>
    <row r="17" spans="1:19" x14ac:dyDescent="0.25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/>
      <c r="G17" s="146" t="str">
        <f t="shared" si="0"/>
        <v>0x91</v>
      </c>
      <c r="H17" s="150" t="str">
        <f t="shared" si="1"/>
        <v>10010001</v>
      </c>
      <c r="I17" s="168" t="str">
        <f>"VAUX LDO: "&amp;VLOOKUP(VALUE(MID($H$17,2,3)),constants!$A$129:$B$136,2,FALSE)&amp;" V"</f>
        <v>VAUX LDO: 1.55 V</v>
      </c>
      <c r="J17" s="225" t="str">
        <f>"ULP LDO: "&amp;VLOOKUP(VALUE(MID($H$17,6,3)),constants!$A$114:$B$121,2,FALSE)&amp;" V"</f>
        <v>ULP LDO: 1.55 V</v>
      </c>
      <c r="K17" s="226"/>
      <c r="L17" s="145"/>
      <c r="M17" s="145"/>
      <c r="N17" s="145"/>
    </row>
    <row r="18" spans="1:19" x14ac:dyDescent="0.25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33"/>
      <c r="J18" s="233"/>
      <c r="K18" s="234"/>
    </row>
    <row r="19" spans="1:19" x14ac:dyDescent="0.25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25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25">
      <c r="A21" s="151" t="s">
        <v>327</v>
      </c>
      <c r="B21" s="171" t="s">
        <v>328</v>
      </c>
      <c r="C21" s="6" t="s">
        <v>426</v>
      </c>
      <c r="D21" s="171" t="str">
        <f>settings!E11</f>
        <v>0x06</v>
      </c>
      <c r="E21" s="168"/>
      <c r="F21" s="159"/>
      <c r="G21" s="146" t="str">
        <f t="shared" si="0"/>
        <v>0x06</v>
      </c>
      <c r="H21" s="150" t="str">
        <f t="shared" si="1"/>
        <v>00000110</v>
      </c>
      <c r="I21" s="245" t="str">
        <f>TEXT(HLOOKUP(VALUE(MID(H21,5,4)),constants!B5:Q6,2,FALSE),"0%")</f>
        <v>80%</v>
      </c>
      <c r="J21" s="245"/>
      <c r="K21" s="246"/>
      <c r="L21" s="147"/>
      <c r="M21" s="147"/>
      <c r="N21" s="147"/>
      <c r="O21" s="147"/>
      <c r="P21" s="147"/>
    </row>
    <row r="22" spans="1:19" x14ac:dyDescent="0.25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25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25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25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0:1:1:0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25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25" t="str">
        <f>"t_lts_hrv_low_period: "&amp;VLOOKUP(BIN2DEC(MID(H26,6,3)),constants!A98:B105,2,FALSE)&amp;" ms"</f>
        <v>t_lts_hrv_low_period: 32768 ms</v>
      </c>
      <c r="K26" s="226"/>
      <c r="L26" s="145"/>
      <c r="M26" s="145"/>
      <c r="N26" s="145"/>
      <c r="O26" s="145"/>
      <c r="P26" s="145"/>
    </row>
    <row r="27" spans="1:19" x14ac:dyDescent="0.25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25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37"/>
      <c r="J28" s="237"/>
      <c r="K28" s="238"/>
    </row>
    <row r="29" spans="1:19" x14ac:dyDescent="0.25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25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25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25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25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25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25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25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25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25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25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25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25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25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25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25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25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25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25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25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25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25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25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25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25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25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25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25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25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25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25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25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25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25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25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25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25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.75" thickBot="1" x14ac:dyDescent="0.3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25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19050</xdr:colOff>
                <xdr:row>0</xdr:row>
                <xdr:rowOff>38100</xdr:rowOff>
              </from>
              <to>
                <xdr:col>10</xdr:col>
                <xdr:colOff>1809750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defaultColWidth="27.7109375" defaultRowHeight="15" x14ac:dyDescent="0.25"/>
  <cols>
    <col min="1" max="1" width="36.42578125" style="3" bestFit="1" customWidth="1"/>
    <col min="2" max="4" width="27.7109375" style="49"/>
    <col min="5" max="5" width="27.7109375" style="19"/>
    <col min="6" max="7" width="27.7109375" style="49"/>
    <col min="8" max="9" width="27.7109375" style="19"/>
    <col min="10" max="16384" width="27.7109375" style="3"/>
  </cols>
  <sheetData>
    <row r="1" spans="1:17" x14ac:dyDescent="0.25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25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25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25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25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25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25">
      <c r="B7" s="140"/>
      <c r="C7" s="140"/>
      <c r="D7" s="140"/>
      <c r="E7" s="3"/>
      <c r="F7" s="140"/>
      <c r="G7" s="140"/>
      <c r="H7" s="3"/>
      <c r="I7" s="3"/>
    </row>
    <row r="8" spans="1:17" x14ac:dyDescent="0.25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25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25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25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25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25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25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25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25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25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25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25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25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25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25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25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25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25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25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25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25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25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25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25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25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25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25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25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25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25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25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25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25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25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25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25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25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25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25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25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75" x14ac:dyDescent="0.25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5.5" x14ac:dyDescent="0.25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5.5" x14ac:dyDescent="0.25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25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25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25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25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25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25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25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25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25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25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25">
      <c r="B61" s="10"/>
      <c r="C61" s="10"/>
      <c r="D61" s="10"/>
      <c r="E61" s="3"/>
      <c r="F61" s="140"/>
      <c r="G61" s="140"/>
      <c r="H61" s="3"/>
      <c r="I61" s="3"/>
    </row>
    <row r="62" spans="1:11" x14ac:dyDescent="0.25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25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25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25">
      <c r="B65" s="10"/>
      <c r="C65" s="10"/>
      <c r="D65" s="10"/>
      <c r="E65" s="3"/>
      <c r="F65" s="140"/>
      <c r="G65" s="140"/>
      <c r="H65" s="3"/>
      <c r="I65" s="3"/>
    </row>
    <row r="66" spans="1:9" x14ac:dyDescent="0.25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25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25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25">
      <c r="B69" s="10"/>
      <c r="C69" s="10"/>
      <c r="D69" s="10"/>
      <c r="E69" s="3"/>
      <c r="F69" s="140"/>
      <c r="G69" s="140"/>
      <c r="H69" s="3"/>
      <c r="I69" s="3"/>
    </row>
    <row r="70" spans="1:9" x14ac:dyDescent="0.25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25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25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25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25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25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25">
      <c r="B76" s="10"/>
      <c r="C76" s="10"/>
      <c r="D76" s="10"/>
      <c r="E76" s="3"/>
      <c r="F76" s="140"/>
      <c r="G76" s="140"/>
      <c r="H76" s="3"/>
      <c r="I76" s="3"/>
    </row>
    <row r="77" spans="1:9" x14ac:dyDescent="0.25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25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25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25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25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25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25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25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25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25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25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25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25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25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25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25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25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25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25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25">
      <c r="B96" s="10"/>
      <c r="C96" s="10"/>
      <c r="D96" s="10"/>
      <c r="E96" s="3"/>
      <c r="F96" s="140"/>
      <c r="G96" s="140"/>
      <c r="H96" s="3"/>
      <c r="I96" s="3"/>
    </row>
    <row r="97" spans="1:9" x14ac:dyDescent="0.25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25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25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25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25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25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25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25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25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25">
      <c r="B106" s="10"/>
      <c r="C106" s="10"/>
      <c r="D106" s="10"/>
      <c r="E106" s="3"/>
      <c r="F106" s="140"/>
      <c r="G106" s="140"/>
      <c r="H106" s="3"/>
      <c r="I106" s="3"/>
    </row>
    <row r="107" spans="1:9" x14ac:dyDescent="0.25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25">
      <c r="B108" s="10"/>
      <c r="C108" s="10"/>
      <c r="D108" s="10"/>
      <c r="E108" s="3"/>
      <c r="F108" s="140"/>
      <c r="G108" s="140"/>
      <c r="H108" s="3"/>
      <c r="I108" s="3"/>
    </row>
    <row r="109" spans="1:9" x14ac:dyDescent="0.25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25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25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25">
      <c r="B112" s="10"/>
      <c r="C112" s="10"/>
      <c r="D112" s="10"/>
      <c r="E112" s="3"/>
      <c r="F112" s="140"/>
      <c r="G112" s="140"/>
      <c r="H112" s="3"/>
      <c r="I112" s="3"/>
    </row>
    <row r="113" spans="1:9" x14ac:dyDescent="0.25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25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25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25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25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25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25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25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25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25">
      <c r="B122" s="10"/>
      <c r="C122" s="10"/>
      <c r="D122" s="10"/>
      <c r="E122" s="3"/>
      <c r="F122" s="140"/>
      <c r="G122" s="140"/>
      <c r="H122" s="3"/>
      <c r="I122" s="3"/>
    </row>
    <row r="123" spans="1:9" x14ac:dyDescent="0.25">
      <c r="B123" s="10"/>
      <c r="C123" s="10"/>
      <c r="D123" s="10"/>
      <c r="E123" s="3"/>
      <c r="F123" s="140"/>
      <c r="G123" s="140"/>
      <c r="H123" s="3"/>
      <c r="I123" s="3"/>
    </row>
    <row r="124" spans="1:9" x14ac:dyDescent="0.25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25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25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25">
      <c r="B127" s="10"/>
      <c r="C127" s="10"/>
      <c r="D127" s="10"/>
      <c r="E127" s="3"/>
      <c r="F127" s="140"/>
      <c r="G127" s="140"/>
      <c r="H127" s="3"/>
      <c r="I127" s="3"/>
    </row>
    <row r="128" spans="1:9" x14ac:dyDescent="0.25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25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25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25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25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25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25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25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25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25">
      <c r="B137" s="10"/>
      <c r="C137" s="10"/>
      <c r="D137" s="10"/>
      <c r="E137" s="3"/>
      <c r="F137" s="140"/>
      <c r="G137" s="140"/>
      <c r="H137" s="3"/>
      <c r="I137" s="3"/>
    </row>
    <row r="138" spans="1:9" x14ac:dyDescent="0.25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25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25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25">
      <c r="B141" s="10"/>
      <c r="C141" s="10"/>
      <c r="D141" s="10"/>
      <c r="E141" s="3"/>
      <c r="F141" s="140"/>
      <c r="G141" s="140"/>
      <c r="H141" s="3"/>
      <c r="I141" s="3"/>
    </row>
    <row r="142" spans="1:9" x14ac:dyDescent="0.25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25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25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25">
      <c r="B145" s="10"/>
      <c r="C145" s="10"/>
      <c r="D145" s="10"/>
      <c r="E145" s="3"/>
      <c r="F145" s="140"/>
      <c r="G145" s="140"/>
      <c r="H145" s="3"/>
      <c r="I145" s="3"/>
    </row>
    <row r="146" spans="1:9" x14ac:dyDescent="0.25">
      <c r="B146" s="10"/>
      <c r="C146" s="10"/>
      <c r="D146" s="10"/>
      <c r="E146" s="3"/>
      <c r="F146" s="140"/>
      <c r="G146" s="140"/>
      <c r="H146" s="3"/>
      <c r="I146" s="3"/>
    </row>
    <row r="147" spans="1:9" x14ac:dyDescent="0.25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25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25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25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25">
      <c r="B151" s="10"/>
      <c r="C151" s="10"/>
      <c r="D151" s="10"/>
      <c r="E151" s="3"/>
      <c r="F151" s="140"/>
      <c r="G151" s="140"/>
      <c r="H151" s="3"/>
      <c r="I151" s="3"/>
    </row>
    <row r="152" spans="1:9" x14ac:dyDescent="0.25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25">
      <c r="B153" s="10"/>
      <c r="C153" s="10"/>
      <c r="D153" s="10"/>
      <c r="E153" s="3"/>
      <c r="F153" s="140"/>
      <c r="G153" s="140"/>
      <c r="H153" s="3"/>
      <c r="I153" s="3"/>
    </row>
    <row r="154" spans="1:9" x14ac:dyDescent="0.25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25">
      <c r="B155" s="10"/>
      <c r="C155" s="10"/>
      <c r="D155" s="10"/>
      <c r="E155" s="3"/>
      <c r="F155" s="140"/>
      <c r="G155" s="140"/>
      <c r="H155" s="3"/>
      <c r="I155" s="3"/>
    </row>
    <row r="156" spans="1:9" x14ac:dyDescent="0.25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25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25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25">
      <c r="B159" s="10"/>
      <c r="C159" s="10"/>
      <c r="D159" s="10"/>
      <c r="E159" s="3"/>
      <c r="F159" s="140"/>
      <c r="G159" s="140"/>
      <c r="H159" s="3"/>
      <c r="I159" s="3"/>
    </row>
    <row r="160" spans="1:9" x14ac:dyDescent="0.25">
      <c r="B160" s="10"/>
      <c r="C160" s="10"/>
      <c r="D160" s="10"/>
      <c r="E160" s="3"/>
      <c r="F160" s="140"/>
      <c r="G160" s="140"/>
      <c r="H160" s="3"/>
      <c r="I160" s="3"/>
    </row>
    <row r="161" spans="1:9" x14ac:dyDescent="0.25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25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25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25">
      <c r="B165" s="49" t="s">
        <v>607</v>
      </c>
    </row>
    <row r="166" spans="1:9" x14ac:dyDescent="0.25">
      <c r="A166" s="142" t="s">
        <v>613</v>
      </c>
      <c r="B166" s="49" t="s">
        <v>617</v>
      </c>
    </row>
    <row r="167" spans="1:9" x14ac:dyDescent="0.25">
      <c r="A167" s="142" t="s">
        <v>614</v>
      </c>
      <c r="B167" s="49" t="s">
        <v>618</v>
      </c>
    </row>
    <row r="168" spans="1:9" x14ac:dyDescent="0.25">
      <c r="A168" s="142" t="s">
        <v>615</v>
      </c>
      <c r="B168" s="49" t="s">
        <v>619</v>
      </c>
    </row>
    <row r="169" spans="1:9" x14ac:dyDescent="0.25">
      <c r="A169" s="142" t="s">
        <v>616</v>
      </c>
      <c r="B169" s="49" t="s">
        <v>620</v>
      </c>
    </row>
    <row r="171" spans="1:9" x14ac:dyDescent="0.25">
      <c r="B171" s="49" t="s">
        <v>608</v>
      </c>
    </row>
    <row r="172" spans="1:9" x14ac:dyDescent="0.25">
      <c r="A172" s="142" t="s">
        <v>613</v>
      </c>
      <c r="B172" s="49" t="s">
        <v>625</v>
      </c>
    </row>
    <row r="173" spans="1:9" x14ac:dyDescent="0.25">
      <c r="A173" s="142" t="s">
        <v>614</v>
      </c>
      <c r="B173" s="49" t="s">
        <v>626</v>
      </c>
    </row>
    <row r="174" spans="1:9" x14ac:dyDescent="0.25">
      <c r="A174" s="142" t="s">
        <v>615</v>
      </c>
      <c r="B174" s="49" t="s">
        <v>627</v>
      </c>
    </row>
    <row r="175" spans="1:9" x14ac:dyDescent="0.25">
      <c r="A175" s="142" t="s">
        <v>616</v>
      </c>
      <c r="B175" s="49" t="s">
        <v>628</v>
      </c>
    </row>
    <row r="177" spans="1:9" x14ac:dyDescent="0.25">
      <c r="A177" s="3">
        <v>1</v>
      </c>
      <c r="B177" s="49" t="s">
        <v>630</v>
      </c>
    </row>
    <row r="178" spans="1:9" x14ac:dyDescent="0.25">
      <c r="A178" s="3">
        <v>0</v>
      </c>
      <c r="B178" s="49" t="s">
        <v>631</v>
      </c>
    </row>
    <row r="180" spans="1:9" x14ac:dyDescent="0.25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25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25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8" x14ac:dyDescent="0.35">
      <c r="A185" s="3">
        <v>1</v>
      </c>
      <c r="B185" s="49" t="s">
        <v>656</v>
      </c>
    </row>
    <row r="186" spans="1:9" ht="18" x14ac:dyDescent="0.35">
      <c r="A186" s="3">
        <v>0</v>
      </c>
      <c r="B186" s="49" t="s">
        <v>657</v>
      </c>
    </row>
    <row r="189" spans="1:9" x14ac:dyDescent="0.25">
      <c r="B189" s="140" t="s">
        <v>572</v>
      </c>
      <c r="C189" s="140" t="s">
        <v>573</v>
      </c>
      <c r="D189" s="140" t="s">
        <v>574</v>
      </c>
      <c r="E189" s="3"/>
    </row>
    <row r="190" spans="1:9" x14ac:dyDescent="0.25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25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25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25">
      <c r="A195" s="3">
        <v>0</v>
      </c>
      <c r="B195" s="49" t="s">
        <v>664</v>
      </c>
      <c r="C195" s="49" t="s">
        <v>666</v>
      </c>
    </row>
    <row r="196" spans="1:9" x14ac:dyDescent="0.25">
      <c r="A196" s="3">
        <v>1</v>
      </c>
      <c r="B196" s="49" t="s">
        <v>665</v>
      </c>
      <c r="C196" s="49" t="s">
        <v>667</v>
      </c>
    </row>
    <row r="198" spans="1:9" x14ac:dyDescent="0.25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defaultRowHeight="15" x14ac:dyDescent="0.25"/>
  <cols>
    <col min="1" max="16384" width="9.140625" style="3"/>
  </cols>
  <sheetData>
    <row r="1" spans="1:1" x14ac:dyDescent="0.25">
      <c r="A1" s="50" t="s">
        <v>22</v>
      </c>
    </row>
    <row r="2" spans="1:1" x14ac:dyDescent="0.25">
      <c r="A2" s="50" t="s">
        <v>23</v>
      </c>
    </row>
    <row r="3" spans="1:1" s="51" customFormat="1" x14ac:dyDescent="0.25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25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25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25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25">
      <c r="A7" s="51" t="s">
        <v>103</v>
      </c>
    </row>
    <row r="8" spans="1:1" s="51" customFormat="1" x14ac:dyDescent="0.25">
      <c r="A8" s="51" t="s">
        <v>120</v>
      </c>
    </row>
    <row r="9" spans="1:1" s="51" customFormat="1" x14ac:dyDescent="0.25">
      <c r="A9" s="51" t="s">
        <v>134</v>
      </c>
    </row>
    <row r="10" spans="1:1" s="51" customFormat="1" x14ac:dyDescent="0.25">
      <c r="A10" s="51" t="s">
        <v>136</v>
      </c>
    </row>
    <row r="11" spans="1:1" s="51" customFormat="1" x14ac:dyDescent="0.25">
      <c r="A11" s="51" t="str">
        <f>"ERROR: Effective t_hrv_meas shorter than "&amp;settings!B29&amp;" ms"</f>
        <v>ERROR: Effective t_hrv_meas shorter than 84 ms</v>
      </c>
    </row>
    <row r="12" spans="1:1" s="51" customFormat="1" x14ac:dyDescent="0.25">
      <c r="A12" s="51" t="s">
        <v>139</v>
      </c>
    </row>
    <row r="13" spans="1:1" s="51" customFormat="1" x14ac:dyDescent="0.25">
      <c r="A13" s="51" t="str">
        <f>"ERROR: v_bat_max_hi is set higher than "&amp;constants!$D$67&amp;"V"</f>
        <v>ERROR: v_bat_max_hi is set higher than 4.2V</v>
      </c>
    </row>
    <row r="14" spans="1:1" s="51" customFormat="1" x14ac:dyDescent="0.25">
      <c r="A14" s="51" t="s">
        <v>104</v>
      </c>
    </row>
    <row r="15" spans="1:1" s="51" customFormat="1" x14ac:dyDescent="0.25">
      <c r="A15" s="51" t="str">
        <f>"ERROR: v_apl_max_hi is set higher than "&amp;constants!$D$67&amp;"V"</f>
        <v>ERROR: v_apl_max_hi is set higher than 4.2V</v>
      </c>
    </row>
    <row r="16" spans="1:1" s="51" customFormat="1" x14ac:dyDescent="0.25">
      <c r="A16" s="51" t="str">
        <f>"ERROR: v_bat_min_lo is set lower than "&amp;constants!B68&amp;"V"</f>
        <v>ERROR: v_bat_min_lo is set lower than 1.47V</v>
      </c>
    </row>
    <row r="17" spans="1:1" s="51" customFormat="1" x14ac:dyDescent="0.25">
      <c r="A17" s="51" t="s">
        <v>105</v>
      </c>
    </row>
    <row r="18" spans="1:1" s="51" customFormat="1" x14ac:dyDescent="0.25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25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25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25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25">
      <c r="A22" s="51" t="s">
        <v>106</v>
      </c>
    </row>
    <row r="23" spans="1:1" s="51" customFormat="1" x14ac:dyDescent="0.25">
      <c r="A23" s="51" t="s">
        <v>107</v>
      </c>
    </row>
    <row r="24" spans="1:1" s="51" customFormat="1" x14ac:dyDescent="0.25">
      <c r="A24" s="51" t="s">
        <v>108</v>
      </c>
    </row>
    <row r="25" spans="1:1" s="51" customFormat="1" x14ac:dyDescent="0.25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25">
      <c r="A26" s="51" t="s">
        <v>109</v>
      </c>
    </row>
    <row r="27" spans="1:1" s="51" customFormat="1" x14ac:dyDescent="0.25">
      <c r="A27" s="51" t="s">
        <v>679</v>
      </c>
    </row>
    <row r="28" spans="1:1" s="51" customFormat="1" x14ac:dyDescent="0.25">
      <c r="A28" s="51" t="s">
        <v>110</v>
      </c>
    </row>
    <row r="29" spans="1:1" s="51" customFormat="1" x14ac:dyDescent="0.25">
      <c r="A29" s="51" t="s">
        <v>673</v>
      </c>
    </row>
    <row r="30" spans="1:1" s="51" customFormat="1" x14ac:dyDescent="0.25">
      <c r="A30" s="51" t="s">
        <v>561</v>
      </c>
    </row>
    <row r="31" spans="1:1" s="51" customFormat="1" x14ac:dyDescent="0.25">
      <c r="A31" s="51" t="s">
        <v>111</v>
      </c>
    </row>
    <row r="32" spans="1:1" s="51" customFormat="1" x14ac:dyDescent="0.25">
      <c r="A32" s="51" t="s">
        <v>567</v>
      </c>
    </row>
    <row r="33" spans="1:1" s="51" customFormat="1" x14ac:dyDescent="0.25">
      <c r="A33" s="51" t="s">
        <v>678</v>
      </c>
    </row>
    <row r="34" spans="1:1" s="51" customFormat="1" x14ac:dyDescent="0.25">
      <c r="A34" s="51" t="s">
        <v>677</v>
      </c>
    </row>
    <row r="35" spans="1:1" s="51" customFormat="1" x14ac:dyDescent="0.25">
      <c r="A35" s="51" t="s">
        <v>112</v>
      </c>
    </row>
    <row r="36" spans="1:1" s="51" customFormat="1" x14ac:dyDescent="0.25">
      <c r="A36" s="51" t="s">
        <v>203</v>
      </c>
    </row>
    <row r="37" spans="1:1" s="51" customFormat="1" x14ac:dyDescent="0.25">
      <c r="A37" s="51" t="s">
        <v>204</v>
      </c>
    </row>
    <row r="38" spans="1:1" s="51" customFormat="1" x14ac:dyDescent="0.25">
      <c r="A38" s="51" t="s">
        <v>475</v>
      </c>
    </row>
    <row r="39" spans="1:1" s="51" customFormat="1" x14ac:dyDescent="0.25">
      <c r="A39" s="51" t="s">
        <v>683</v>
      </c>
    </row>
    <row r="40" spans="1:1" s="51" customFormat="1" x14ac:dyDescent="0.25">
      <c r="A40" s="51" t="s">
        <v>555</v>
      </c>
    </row>
    <row r="41" spans="1:1" x14ac:dyDescent="0.25">
      <c r="A41" s="50" t="s">
        <v>688</v>
      </c>
    </row>
    <row r="42" spans="1:1" s="51" customFormat="1" x14ac:dyDescent="0.25">
      <c r="A42" s="183" t="s">
        <v>689</v>
      </c>
    </row>
    <row r="43" spans="1:1" s="51" customFormat="1" x14ac:dyDescent="0.25">
      <c r="A43" s="183" t="s">
        <v>690</v>
      </c>
    </row>
    <row r="44" spans="1:1" s="51" customFormat="1" x14ac:dyDescent="0.25">
      <c r="A44" s="183" t="s">
        <v>691</v>
      </c>
    </row>
    <row r="45" spans="1:1" s="51" customFormat="1" x14ac:dyDescent="0.25">
      <c r="A45" s="183" t="s">
        <v>692</v>
      </c>
    </row>
    <row r="46" spans="1:1" s="51" customFormat="1" x14ac:dyDescent="0.25">
      <c r="A46" s="183" t="s">
        <v>693</v>
      </c>
    </row>
    <row r="47" spans="1:1" s="51" customFormat="1" x14ac:dyDescent="0.25">
      <c r="A47" s="183" t="s">
        <v>687</v>
      </c>
    </row>
    <row r="48" spans="1:1" x14ac:dyDescent="0.25">
      <c r="A48" s="50" t="s">
        <v>24</v>
      </c>
    </row>
    <row r="49" spans="1:1" s="52" customFormat="1" x14ac:dyDescent="0.25">
      <c r="A49" s="52" t="s">
        <v>61</v>
      </c>
    </row>
    <row r="50" spans="1:1" s="52" customFormat="1" x14ac:dyDescent="0.25">
      <c r="A50" s="52" t="s">
        <v>62</v>
      </c>
    </row>
    <row r="51" spans="1:1" s="52" customFormat="1" x14ac:dyDescent="0.25">
      <c r="A51" s="52" t="s">
        <v>72</v>
      </c>
    </row>
    <row r="52" spans="1:1" s="52" customFormat="1" x14ac:dyDescent="0.25">
      <c r="A52" s="52" t="s">
        <v>73</v>
      </c>
    </row>
    <row r="53" spans="1:1" s="52" customFormat="1" x14ac:dyDescent="0.25">
      <c r="A53" s="52" t="s">
        <v>140</v>
      </c>
    </row>
    <row r="54" spans="1:1" s="52" customFormat="1" x14ac:dyDescent="0.25">
      <c r="A54" s="52" t="s">
        <v>550</v>
      </c>
    </row>
    <row r="55" spans="1:1" s="52" customFormat="1" x14ac:dyDescent="0.25">
      <c r="A55" s="52" t="s">
        <v>157</v>
      </c>
    </row>
    <row r="56" spans="1:1" s="52" customFormat="1" x14ac:dyDescent="0.25">
      <c r="A56" s="52" t="s">
        <v>113</v>
      </c>
    </row>
    <row r="57" spans="1:1" s="52" customFormat="1" x14ac:dyDescent="0.25">
      <c r="A57" s="52" t="s">
        <v>684</v>
      </c>
    </row>
    <row r="58" spans="1:1" s="52" customFormat="1" x14ac:dyDescent="0.25">
      <c r="A58" s="52" t="s">
        <v>269</v>
      </c>
    </row>
    <row r="59" spans="1:1" s="52" customFormat="1" x14ac:dyDescent="0.25">
      <c r="A59" s="52" t="s">
        <v>253</v>
      </c>
    </row>
    <row r="60" spans="1:1" s="52" customFormat="1" x14ac:dyDescent="0.25">
      <c r="A60" s="52" t="s">
        <v>254</v>
      </c>
    </row>
    <row r="61" spans="1:1" s="52" customFormat="1" x14ac:dyDescent="0.25">
      <c r="A61" s="52" t="s">
        <v>255</v>
      </c>
    </row>
    <row r="62" spans="1:1" s="52" customFormat="1" x14ac:dyDescent="0.25">
      <c r="A62" s="52" t="s">
        <v>268</v>
      </c>
    </row>
    <row r="63" spans="1:1" s="52" customFormat="1" x14ac:dyDescent="0.25">
      <c r="A63" s="52" t="s">
        <v>670</v>
      </c>
    </row>
    <row r="64" spans="1:1" s="52" customFormat="1" x14ac:dyDescent="0.25">
      <c r="A64" s="160" t="s">
        <v>671</v>
      </c>
    </row>
    <row r="65" spans="1:1" s="52" customFormat="1" x14ac:dyDescent="0.25">
      <c r="A65" s="52" t="s">
        <v>556</v>
      </c>
    </row>
    <row r="66" spans="1:1" x14ac:dyDescent="0.25">
      <c r="A66" s="50" t="s">
        <v>25</v>
      </c>
    </row>
    <row r="67" spans="1:1" x14ac:dyDescent="0.25">
      <c r="A67" s="3" t="s">
        <v>191</v>
      </c>
    </row>
    <row r="68" spans="1:1" x14ac:dyDescent="0.25">
      <c r="A68" s="3" t="s">
        <v>51</v>
      </c>
    </row>
    <row r="69" spans="1:1" x14ac:dyDescent="0.25">
      <c r="A69" s="3" t="s">
        <v>52</v>
      </c>
    </row>
    <row r="70" spans="1:1" x14ac:dyDescent="0.25">
      <c r="A70" s="3" t="s">
        <v>545</v>
      </c>
    </row>
    <row r="71" spans="1:1" x14ac:dyDescent="0.25">
      <c r="A71" s="3" t="s">
        <v>548</v>
      </c>
    </row>
    <row r="72" spans="1:1" x14ac:dyDescent="0.25">
      <c r="A72" s="3" t="s">
        <v>547</v>
      </c>
    </row>
    <row r="73" spans="1:1" x14ac:dyDescent="0.25">
      <c r="A73" s="3" t="s">
        <v>546</v>
      </c>
    </row>
    <row r="74" spans="1:1" x14ac:dyDescent="0.25">
      <c r="A74" s="3" t="s">
        <v>554</v>
      </c>
    </row>
    <row r="76" spans="1:1" x14ac:dyDescent="0.25">
      <c r="A76" s="50" t="s">
        <v>27</v>
      </c>
    </row>
    <row r="77" spans="1:1" s="53" customFormat="1" x14ac:dyDescent="0.25">
      <c r="A77" s="53" t="s">
        <v>26</v>
      </c>
    </row>
    <row r="78" spans="1:1" s="53" customFormat="1" x14ac:dyDescent="0.25">
      <c r="A78" s="53" t="s">
        <v>557</v>
      </c>
    </row>
    <row r="79" spans="1:1" s="53" customFormat="1" x14ac:dyDescent="0.25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defaultRowHeight="15" x14ac:dyDescent="0.25"/>
  <cols>
    <col min="1" max="16384" width="9.140625" style="3"/>
  </cols>
  <sheetData>
    <row r="1" spans="1:2" x14ac:dyDescent="0.25">
      <c r="A1" s="3" t="str">
        <f>'register map'!B3</f>
        <v>0x40</v>
      </c>
      <c r="B1" s="3" t="str">
        <f>'register map'!G3</f>
        <v>0x05</v>
      </c>
    </row>
    <row r="2" spans="1:2" x14ac:dyDescent="0.25">
      <c r="A2" s="3" t="str">
        <f>'register map'!B4</f>
        <v>0x41</v>
      </c>
      <c r="B2" s="3" t="str">
        <f>'register map'!G4</f>
        <v>0x03</v>
      </c>
    </row>
    <row r="3" spans="1:2" x14ac:dyDescent="0.25">
      <c r="A3" s="3" t="str">
        <f>'register map'!B5</f>
        <v>0x42</v>
      </c>
      <c r="B3" s="3" t="str">
        <f>'register map'!G5</f>
        <v>0x03</v>
      </c>
    </row>
    <row r="4" spans="1:2" x14ac:dyDescent="0.25">
      <c r="A4" s="3" t="str">
        <f>'register map'!B6</f>
        <v>0x43</v>
      </c>
      <c r="B4" s="3" t="str">
        <f>'register map'!G6</f>
        <v>0x07</v>
      </c>
    </row>
    <row r="5" spans="1:2" x14ac:dyDescent="0.25">
      <c r="A5" s="3" t="str">
        <f>'register map'!B7</f>
        <v>0x44</v>
      </c>
      <c r="B5" s="3" t="str">
        <f>'register map'!G7</f>
        <v>0x01</v>
      </c>
    </row>
    <row r="6" spans="1:2" x14ac:dyDescent="0.25">
      <c r="A6" s="3" t="str">
        <f>'register map'!B8</f>
        <v>0x45</v>
      </c>
      <c r="B6" s="3" t="str">
        <f>'register map'!G8</f>
        <v>0x0D</v>
      </c>
    </row>
    <row r="7" spans="1:2" x14ac:dyDescent="0.25">
      <c r="A7" s="3" t="str">
        <f>'register map'!B9</f>
        <v>0x46</v>
      </c>
      <c r="B7" s="3" t="str">
        <f>'register map'!G9</f>
        <v>0x00</v>
      </c>
    </row>
    <row r="8" spans="1:2" x14ac:dyDescent="0.25">
      <c r="A8" s="3" t="str">
        <f>'register map'!B10</f>
        <v>0x47</v>
      </c>
      <c r="B8" s="3" t="str">
        <f>'register map'!G10</f>
        <v>0x2E</v>
      </c>
    </row>
    <row r="9" spans="1:2" x14ac:dyDescent="0.25">
      <c r="A9" s="3" t="str">
        <f>'register map'!B11</f>
        <v>0x48</v>
      </c>
      <c r="B9" s="3" t="str">
        <f>'register map'!G11</f>
        <v>0x2D</v>
      </c>
    </row>
    <row r="10" spans="1:2" x14ac:dyDescent="0.25">
      <c r="A10" s="3" t="str">
        <f>'register map'!B12</f>
        <v>0x49</v>
      </c>
      <c r="B10" s="3" t="str">
        <f>'register map'!G12</f>
        <v>0x1C</v>
      </c>
    </row>
    <row r="11" spans="1:2" x14ac:dyDescent="0.25">
      <c r="A11" s="3" t="str">
        <f>'register map'!B13</f>
        <v>0x4A</v>
      </c>
      <c r="B11" s="3" t="str">
        <f>'register map'!G13</f>
        <v>0x1A</v>
      </c>
    </row>
    <row r="12" spans="1:2" x14ac:dyDescent="0.25">
      <c r="A12" s="3" t="str">
        <f>'register map'!B14</f>
        <v>0x4B</v>
      </c>
      <c r="B12" s="3" t="str">
        <f>'register map'!G14</f>
        <v>0x19</v>
      </c>
    </row>
    <row r="13" spans="1:2" x14ac:dyDescent="0.25">
      <c r="A13" s="3" t="str">
        <f>'register map'!B15</f>
        <v>0x4C</v>
      </c>
      <c r="B13" s="3" t="str">
        <f>'register map'!G15</f>
        <v>0x27</v>
      </c>
    </row>
    <row r="14" spans="1:2" x14ac:dyDescent="0.25">
      <c r="A14" s="3" t="str">
        <f>'register map'!B16</f>
        <v>0x4D</v>
      </c>
      <c r="B14" s="3" t="str">
        <f>'register map'!G16</f>
        <v>0x24</v>
      </c>
    </row>
    <row r="15" spans="1:2" x14ac:dyDescent="0.25">
      <c r="A15" s="3" t="str">
        <f>'register map'!B17</f>
        <v>0x4E</v>
      </c>
      <c r="B15" s="3" t="str">
        <f>'register map'!G17</f>
        <v>0x91</v>
      </c>
    </row>
    <row r="16" spans="1:2" x14ac:dyDescent="0.25">
      <c r="A16" s="3" t="str">
        <f>'register map'!B18</f>
        <v>0x4F</v>
      </c>
      <c r="B16" s="3" t="str">
        <f>'register map'!G18</f>
        <v>0x00</v>
      </c>
    </row>
    <row r="17" spans="1:2" x14ac:dyDescent="0.25">
      <c r="A17" s="3" t="str">
        <f>'register map'!B19</f>
        <v>0x50</v>
      </c>
      <c r="B17" s="3" t="str">
        <f>'register map'!G19</f>
        <v>0x00</v>
      </c>
    </row>
    <row r="18" spans="1:2" x14ac:dyDescent="0.25">
      <c r="A18" s="3" t="str">
        <f>'register map'!B20</f>
        <v>0x51</v>
      </c>
      <c r="B18" s="3" t="str">
        <f>'register map'!G20</f>
        <v>0x00</v>
      </c>
    </row>
    <row r="19" spans="1:2" x14ac:dyDescent="0.25">
      <c r="A19" s="3" t="str">
        <f>'register map'!B21</f>
        <v>0x52</v>
      </c>
      <c r="B19" s="3" t="str">
        <f>'register map'!G21</f>
        <v>0x06</v>
      </c>
    </row>
    <row r="20" spans="1:2" x14ac:dyDescent="0.25">
      <c r="A20" s="3" t="str">
        <f>'register map'!B22</f>
        <v>0x53</v>
      </c>
      <c r="B20" s="3" t="str">
        <f>'register map'!G22</f>
        <v>0x51</v>
      </c>
    </row>
    <row r="21" spans="1:2" x14ac:dyDescent="0.25">
      <c r="A21" s="3" t="str">
        <f>'register map'!B23</f>
        <v>0x54</v>
      </c>
      <c r="B21" s="3" t="str">
        <f>'register map'!G23</f>
        <v>0x48</v>
      </c>
    </row>
    <row r="22" spans="1:2" x14ac:dyDescent="0.25">
      <c r="A22" s="3" t="str">
        <f>'register map'!B24</f>
        <v>0x55</v>
      </c>
      <c r="B22" s="3" t="str">
        <f>'register map'!G24</f>
        <v>0xEE</v>
      </c>
    </row>
    <row r="23" spans="1:2" x14ac:dyDescent="0.25">
      <c r="A23" s="3" t="str">
        <f>'register map'!B25</f>
        <v>0x56</v>
      </c>
      <c r="B23" s="3" t="str">
        <f>'register map'!G25</f>
        <v>0x00</v>
      </c>
    </row>
    <row r="24" spans="1:2" x14ac:dyDescent="0.25">
      <c r="A24" s="3" t="str">
        <f>'register map'!B26</f>
        <v>0x57</v>
      </c>
      <c r="B24" s="3" t="str">
        <f>'register map'!G26</f>
        <v>0x07</v>
      </c>
    </row>
    <row r="25" spans="1:2" x14ac:dyDescent="0.25">
      <c r="A25" s="3" t="str">
        <f>'register map'!B27</f>
        <v>0x58</v>
      </c>
      <c r="B25" s="3" t="str">
        <f>'register map'!G27</f>
        <v>0x77</v>
      </c>
    </row>
    <row r="26" spans="1:2" x14ac:dyDescent="0.25">
      <c r="A26" s="3" t="str">
        <f>'register map'!B28</f>
        <v>0x59</v>
      </c>
      <c r="B26" s="3" t="str">
        <f>'register map'!G28</f>
        <v>0x00</v>
      </c>
    </row>
    <row r="27" spans="1:2" x14ac:dyDescent="0.25">
      <c r="A27" s="3" t="str">
        <f>'register map'!B29</f>
        <v>0x5A</v>
      </c>
      <c r="B27" s="3" t="str">
        <f>'register map'!G29</f>
        <v>0xFF</v>
      </c>
    </row>
    <row r="28" spans="1:2" x14ac:dyDescent="0.25">
      <c r="A28" s="3" t="str">
        <f>'register map'!B30</f>
        <v>0x5B</v>
      </c>
      <c r="B28" s="3" t="str">
        <f>'register map'!G30</f>
        <v>0xFF</v>
      </c>
    </row>
    <row r="29" spans="1:2" x14ac:dyDescent="0.25">
      <c r="A29" s="3" t="str">
        <f>'register map'!B31</f>
        <v>0x5C</v>
      </c>
      <c r="B29" s="3" t="str">
        <f>'register map'!G31</f>
        <v>0xFF</v>
      </c>
    </row>
    <row r="30" spans="1:2" x14ac:dyDescent="0.25">
      <c r="A30" s="3" t="str">
        <f>'register map'!B32</f>
        <v>0x5D</v>
      </c>
      <c r="B30" s="3" t="str">
        <f>'register map'!G32</f>
        <v>0xFF</v>
      </c>
    </row>
    <row r="31" spans="1:2" x14ac:dyDescent="0.25">
      <c r="A31" s="3" t="str">
        <f>'register map'!B33</f>
        <v>0x5E</v>
      </c>
      <c r="B31" s="3" t="str">
        <f>'register map'!G33</f>
        <v>0xFF</v>
      </c>
    </row>
    <row r="32" spans="1:2" x14ac:dyDescent="0.25">
      <c r="A32" s="3" t="str">
        <f>'register map'!B34</f>
        <v>0x5F</v>
      </c>
      <c r="B32" s="3" t="str">
        <f>'register map'!G34</f>
        <v>0xFF</v>
      </c>
    </row>
    <row r="33" spans="1:2" x14ac:dyDescent="0.25">
      <c r="A33" s="3" t="str">
        <f>'register map'!B35</f>
        <v>0x60</v>
      </c>
      <c r="B33" s="3" t="str">
        <f>'register map'!G35</f>
        <v>0xFF</v>
      </c>
    </row>
    <row r="34" spans="1:2" x14ac:dyDescent="0.25">
      <c r="A34" s="3" t="str">
        <f>'register map'!B36</f>
        <v>0x61</v>
      </c>
      <c r="B34" s="3" t="str">
        <f>'register map'!G36</f>
        <v>0xFF</v>
      </c>
    </row>
    <row r="35" spans="1:2" x14ac:dyDescent="0.25">
      <c r="A35" s="3" t="str">
        <f>'register map'!B37</f>
        <v>0x62</v>
      </c>
      <c r="B35" s="3" t="str">
        <f>'register map'!G37</f>
        <v>0xFF</v>
      </c>
    </row>
    <row r="36" spans="1:2" x14ac:dyDescent="0.25">
      <c r="A36" s="3" t="str">
        <f>'register map'!B38</f>
        <v>0x63</v>
      </c>
      <c r="B36" s="3" t="str">
        <f>'register map'!G38</f>
        <v>0xFF</v>
      </c>
    </row>
    <row r="37" spans="1:2" x14ac:dyDescent="0.25">
      <c r="A37" s="3" t="str">
        <f>'register map'!B39</f>
        <v>0x64</v>
      </c>
      <c r="B37" s="3" t="str">
        <f>'register map'!G39</f>
        <v>0xFF</v>
      </c>
    </row>
    <row r="38" spans="1:2" x14ac:dyDescent="0.25">
      <c r="A38" s="3" t="str">
        <f>'register map'!B40</f>
        <v>0x65</v>
      </c>
      <c r="B38" s="3" t="str">
        <f>'register map'!G40</f>
        <v>0xFF</v>
      </c>
    </row>
    <row r="39" spans="1:2" x14ac:dyDescent="0.25">
      <c r="A39" s="3" t="str">
        <f>'register map'!B41</f>
        <v>0x66</v>
      </c>
      <c r="B39" s="3" t="str">
        <f>'register map'!G41</f>
        <v>0xFF</v>
      </c>
    </row>
    <row r="40" spans="1:2" x14ac:dyDescent="0.25">
      <c r="A40" s="3" t="str">
        <f>'register map'!B42</f>
        <v>0x67</v>
      </c>
      <c r="B40" s="3" t="str">
        <f>'register map'!G42</f>
        <v>0xFF</v>
      </c>
    </row>
    <row r="41" spans="1:2" x14ac:dyDescent="0.25">
      <c r="A41" s="3" t="str">
        <f>'register map'!B43</f>
        <v>0x68</v>
      </c>
      <c r="B41" s="3" t="str">
        <f>'register map'!G43</f>
        <v>0xFF</v>
      </c>
    </row>
    <row r="42" spans="1:2" x14ac:dyDescent="0.25">
      <c r="A42" s="3" t="str">
        <f>'register map'!B44</f>
        <v>0x69</v>
      </c>
      <c r="B42" s="3" t="str">
        <f>'register map'!G44</f>
        <v>0xFF</v>
      </c>
    </row>
    <row r="43" spans="1:2" x14ac:dyDescent="0.25">
      <c r="A43" s="3" t="str">
        <f>'register map'!B45</f>
        <v>0x6A</v>
      </c>
      <c r="B43" s="3" t="str">
        <f>'register map'!G45</f>
        <v>0xFF</v>
      </c>
    </row>
    <row r="44" spans="1:2" x14ac:dyDescent="0.25">
      <c r="A44" s="3" t="str">
        <f>'register map'!B46</f>
        <v>0x6B</v>
      </c>
      <c r="B44" s="3" t="str">
        <f>'register map'!G46</f>
        <v>0xFF</v>
      </c>
    </row>
    <row r="45" spans="1:2" x14ac:dyDescent="0.25">
      <c r="A45" s="3" t="str">
        <f>'register map'!B47</f>
        <v>0x6C</v>
      </c>
      <c r="B45" s="3" t="str">
        <f>'register map'!G47</f>
        <v>0xFF</v>
      </c>
    </row>
    <row r="46" spans="1:2" x14ac:dyDescent="0.25">
      <c r="A46" s="3" t="str">
        <f>'register map'!B48</f>
        <v>0x6D</v>
      </c>
      <c r="B46" s="3" t="str">
        <f>'register map'!G48</f>
        <v>0xFF</v>
      </c>
    </row>
    <row r="47" spans="1:2" x14ac:dyDescent="0.25">
      <c r="A47" s="3" t="str">
        <f>'register map'!B49</f>
        <v>0x6E</v>
      </c>
      <c r="B47" s="3" t="str">
        <f>'register map'!G49</f>
        <v>0xFF</v>
      </c>
    </row>
    <row r="48" spans="1:2" x14ac:dyDescent="0.25">
      <c r="A48" s="3" t="str">
        <f>'register map'!B50</f>
        <v>0x6F</v>
      </c>
      <c r="B48" s="3" t="str">
        <f>'register map'!G50</f>
        <v>0xFF</v>
      </c>
    </row>
    <row r="49" spans="1:2" x14ac:dyDescent="0.25">
      <c r="A49" s="3" t="str">
        <f>'register map'!B51</f>
        <v>0x70</v>
      </c>
      <c r="B49" s="3" t="str">
        <f>'register map'!G51</f>
        <v>0xFF</v>
      </c>
    </row>
    <row r="50" spans="1:2" x14ac:dyDescent="0.25">
      <c r="A50" s="3" t="str">
        <f>'register map'!B52</f>
        <v>0x71</v>
      </c>
      <c r="B50" s="3" t="str">
        <f>'register map'!G52</f>
        <v>0xFF</v>
      </c>
    </row>
    <row r="51" spans="1:2" x14ac:dyDescent="0.25">
      <c r="A51" s="3" t="str">
        <f>'register map'!B53</f>
        <v>0x72</v>
      </c>
      <c r="B51" s="3" t="str">
        <f>'register map'!G53</f>
        <v>0xFF</v>
      </c>
    </row>
    <row r="52" spans="1:2" x14ac:dyDescent="0.25">
      <c r="A52" s="3" t="str">
        <f>'register map'!B54</f>
        <v>0x73</v>
      </c>
      <c r="B52" s="3" t="str">
        <f>'register map'!G54</f>
        <v>0xFF</v>
      </c>
    </row>
    <row r="53" spans="1:2" x14ac:dyDescent="0.25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defaultRowHeight="15" x14ac:dyDescent="0.25"/>
  <cols>
    <col min="1" max="1" width="33.5703125" style="3" bestFit="1" customWidth="1"/>
    <col min="2" max="2" width="23" style="113" customWidth="1"/>
    <col min="3" max="8" width="15.7109375" style="3" customWidth="1"/>
    <col min="9" max="9" width="24.28515625" style="10" bestFit="1" customWidth="1"/>
    <col min="10" max="10" width="15.7109375" style="10" customWidth="1"/>
    <col min="11" max="11" width="24.28515625" style="10" bestFit="1" customWidth="1"/>
    <col min="12" max="12" width="15.7109375" style="10" customWidth="1"/>
    <col min="13" max="13" width="15.7109375" style="126" customWidth="1"/>
    <col min="14" max="14" width="15.7109375" style="3" customWidth="1"/>
    <col min="15" max="15" width="19.28515625" style="3" bestFit="1" customWidth="1"/>
    <col min="16" max="35" width="15.7109375" style="3" customWidth="1"/>
    <col min="36" max="16384" width="9.140625" style="3"/>
  </cols>
  <sheetData>
    <row r="1" spans="1:12" x14ac:dyDescent="0.25">
      <c r="A1" s="50" t="s">
        <v>502</v>
      </c>
      <c r="I1" s="3"/>
    </row>
    <row r="2" spans="1:12" x14ac:dyDescent="0.25">
      <c r="A2" s="50" t="s">
        <v>503</v>
      </c>
      <c r="B2" s="113" t="s">
        <v>504</v>
      </c>
      <c r="I2" s="3"/>
    </row>
    <row r="3" spans="1:12" x14ac:dyDescent="0.25">
      <c r="B3" s="114" t="s">
        <v>505</v>
      </c>
      <c r="I3" s="3"/>
    </row>
    <row r="4" spans="1:12" x14ac:dyDescent="0.25">
      <c r="B4" s="114" t="s">
        <v>506</v>
      </c>
      <c r="I4" s="3"/>
    </row>
    <row r="5" spans="1:12" x14ac:dyDescent="0.25">
      <c r="B5" s="114" t="s">
        <v>507</v>
      </c>
      <c r="I5" s="3"/>
    </row>
    <row r="6" spans="1:12" x14ac:dyDescent="0.25">
      <c r="B6" s="114"/>
      <c r="I6" s="3"/>
      <c r="J6" s="115"/>
      <c r="K6" s="115"/>
      <c r="L6" s="115"/>
    </row>
    <row r="7" spans="1:12" x14ac:dyDescent="0.25">
      <c r="A7" s="3" t="s">
        <v>155</v>
      </c>
      <c r="B7" s="113" t="str">
        <f>settings!B36</f>
        <v>Yes</v>
      </c>
      <c r="I7" s="3"/>
    </row>
    <row r="8" spans="1:12" x14ac:dyDescent="0.25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25">
      <c r="A9" s="3" t="s">
        <v>549</v>
      </c>
      <c r="B9" s="122">
        <f>constants!C64</f>
        <v>7.2999999999999995E-2</v>
      </c>
      <c r="D9" s="116">
        <f>IF(B12=-1,B11,B13)</f>
        <v>2.7009999999999996</v>
      </c>
      <c r="E9" s="3">
        <v>1.25</v>
      </c>
      <c r="I9" s="3"/>
      <c r="K9" s="117">
        <f>B10</f>
        <v>3.4309999999999996</v>
      </c>
      <c r="L9" s="10">
        <v>2</v>
      </c>
    </row>
    <row r="10" spans="1:12" x14ac:dyDescent="0.25">
      <c r="A10" s="3" t="str">
        <f>"v_bat_max_hi ("&amp;TEXT(B10,"0.00")&amp;")"</f>
        <v>v_bat_max_hi (3.43)</v>
      </c>
      <c r="B10" s="118">
        <f>(settings!H15+1)*'chart calc'!B9</f>
        <v>3.4309999999999996</v>
      </c>
      <c r="D10" s="3">
        <f>B18</f>
        <v>1.3</v>
      </c>
      <c r="E10" s="3">
        <v>1</v>
      </c>
      <c r="I10" s="3"/>
      <c r="K10" s="117">
        <f>F76</f>
        <v>2.7374999999999998</v>
      </c>
      <c r="L10" s="10">
        <v>1</v>
      </c>
    </row>
    <row r="11" spans="1:12" x14ac:dyDescent="0.25">
      <c r="A11" s="3" t="str">
        <f>"v_bat_max_lo ("&amp;TEXT(B11,"0.00")&amp;")"</f>
        <v>v_bat_max_lo (3.36)</v>
      </c>
      <c r="B11" s="118">
        <f>(settings!H76+1)*B9</f>
        <v>3.3579999999999997</v>
      </c>
      <c r="C11" s="3" t="s">
        <v>518</v>
      </c>
      <c r="D11" s="50">
        <f>SLOPE(D9:D10,E9:E10)</f>
        <v>5.6039999999999983</v>
      </c>
      <c r="I11" s="3"/>
      <c r="J11" s="10" t="s">
        <v>518</v>
      </c>
      <c r="K11" s="119">
        <f>SLOPE(K9:K10,L9:L10)</f>
        <v>0.69349999999999978</v>
      </c>
    </row>
    <row r="12" spans="1:12" x14ac:dyDescent="0.25">
      <c r="A12" s="3" t="str">
        <f>"v_apl_max_hi ("&amp;TEXT(B12,"0.00")&amp;")"</f>
        <v>v_apl_max_hi (2.92)</v>
      </c>
      <c r="B12" s="118">
        <f>IF(settings!H42&gt;settings!H41,-1,(settings!H42+1)*B9)</f>
        <v>2.92</v>
      </c>
      <c r="C12" s="3" t="s">
        <v>519</v>
      </c>
      <c r="D12" s="50">
        <f>INTERCEPT(D9:D10,E9:E10)</f>
        <v>-4.3039999999999985</v>
      </c>
      <c r="I12" s="3"/>
      <c r="J12" s="10" t="s">
        <v>519</v>
      </c>
      <c r="K12" s="119">
        <f>INTERCEPT(K9:K10,L9:L10)</f>
        <v>2.0440000000000005</v>
      </c>
    </row>
    <row r="13" spans="1:12" x14ac:dyDescent="0.25">
      <c r="A13" s="3" t="str">
        <f>"v_apl_max_lo ("&amp;TEXT(B13,"0.00")&amp;")"</f>
        <v>v_apl_max_lo (2.70)</v>
      </c>
      <c r="B13" s="118">
        <f>IF(settings!H42&gt;settings!H41,-1,(settings!H73+1)*B9)</f>
        <v>2.7009999999999996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3.3579999999999997</v>
      </c>
      <c r="L13" s="10">
        <v>2.5</v>
      </c>
    </row>
    <row r="14" spans="1:12" x14ac:dyDescent="0.25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2.7009999999999996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3.4309999999999996</v>
      </c>
      <c r="L14" s="10">
        <v>2</v>
      </c>
    </row>
    <row r="15" spans="1:12" x14ac:dyDescent="0.25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-2.3359999999999985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25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5.6209999999999978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3.7229999999999999</v>
      </c>
    </row>
    <row r="17" spans="1:12" x14ac:dyDescent="0.25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2.7009999999999996</v>
      </c>
      <c r="E17" s="3">
        <v>1.75</v>
      </c>
      <c r="I17" s="3"/>
      <c r="K17" s="117">
        <f>K14</f>
        <v>3.4309999999999996</v>
      </c>
      <c r="L17" s="10">
        <v>3</v>
      </c>
    </row>
    <row r="18" spans="1:12" x14ac:dyDescent="0.25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3.3579999999999997</v>
      </c>
      <c r="L18" s="10">
        <v>2.5</v>
      </c>
    </row>
    <row r="19" spans="1:12" x14ac:dyDescent="0.25">
      <c r="B19" s="118"/>
      <c r="C19" s="3" t="s">
        <v>522</v>
      </c>
      <c r="D19" s="50">
        <f>SLOPE(D17:D18,E17:E18)</f>
        <v>2.3359999999999985</v>
      </c>
      <c r="I19" s="3"/>
      <c r="J19" s="10" t="s">
        <v>522</v>
      </c>
      <c r="K19" s="119">
        <f>SLOPE(K17:K18,L17:L18)</f>
        <v>0.14599999999999991</v>
      </c>
    </row>
    <row r="20" spans="1:12" x14ac:dyDescent="0.25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-1.3869999999999978</v>
      </c>
      <c r="I20" s="3"/>
      <c r="J20" s="10" t="s">
        <v>523</v>
      </c>
      <c r="K20" s="119">
        <f>INTERCEPT(K17:K18,L17:L18)</f>
        <v>2.9930000000000003</v>
      </c>
    </row>
    <row r="21" spans="1:12" x14ac:dyDescent="0.25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25">
      <c r="A22" s="3" t="s">
        <v>538</v>
      </c>
      <c r="B22" s="113" t="str">
        <f>settings!B92</f>
        <v>No</v>
      </c>
      <c r="D22" s="116">
        <f>D17</f>
        <v>2.7009999999999996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25">
      <c r="C23" s="3" t="s">
        <v>524</v>
      </c>
      <c r="D23" s="50">
        <f>SLOPE(D21:D22,E21:E22)</f>
        <v>-2.3359999999999985</v>
      </c>
      <c r="G23" s="50">
        <f>SLOPE(G21:G22,H21:H22)</f>
        <v>2.9340000000000002</v>
      </c>
      <c r="I23" s="3"/>
    </row>
    <row r="24" spans="1:12" x14ac:dyDescent="0.25">
      <c r="C24" s="3" t="s">
        <v>526</v>
      </c>
      <c r="D24" s="50">
        <f>INTERCEPT(D21:D22,E21:E22)</f>
        <v>6.788999999999997</v>
      </c>
      <c r="G24" s="50">
        <f>INTERCEPT(G21:G22,H21:H22)</f>
        <v>-3.7510000000000008</v>
      </c>
      <c r="I24" s="3"/>
    </row>
    <row r="25" spans="1:12" x14ac:dyDescent="0.25">
      <c r="I25" s="3"/>
    </row>
    <row r="26" spans="1:12" x14ac:dyDescent="0.25">
      <c r="I26" s="3"/>
    </row>
    <row r="27" spans="1:12" x14ac:dyDescent="0.25">
      <c r="D27" s="116">
        <f>B10</f>
        <v>3.4309999999999996</v>
      </c>
      <c r="E27" s="3">
        <v>2.25</v>
      </c>
      <c r="I27" s="3"/>
    </row>
    <row r="28" spans="1:12" x14ac:dyDescent="0.25">
      <c r="A28" s="3" t="s">
        <v>568</v>
      </c>
      <c r="D28" s="116">
        <f>D21</f>
        <v>2.117</v>
      </c>
      <c r="E28" s="3">
        <v>2</v>
      </c>
      <c r="I28" s="3"/>
    </row>
    <row r="29" spans="1:12" x14ac:dyDescent="0.25">
      <c r="A29" s="3" t="s">
        <v>508</v>
      </c>
      <c r="C29" s="3" t="s">
        <v>524</v>
      </c>
      <c r="D29" s="50">
        <f>SLOPE(D27:D28,E27:E28)</f>
        <v>5.2559999999999985</v>
      </c>
      <c r="I29" s="3">
        <v>0.3</v>
      </c>
    </row>
    <row r="30" spans="1:12" x14ac:dyDescent="0.25">
      <c r="A30" s="3" t="s">
        <v>509</v>
      </c>
      <c r="C30" s="3" t="s">
        <v>526</v>
      </c>
      <c r="D30" s="50">
        <f>INTERCEPT(D27:D28,E27:E28)</f>
        <v>-8.394999999999996</v>
      </c>
      <c r="G30" s="120" t="str">
        <f>messages!A70</f>
        <v>START-UP</v>
      </c>
      <c r="H30" s="3">
        <v>0.5</v>
      </c>
      <c r="I30" s="3">
        <f>$B$10+I29</f>
        <v>3.7309999999999994</v>
      </c>
      <c r="J30" s="10">
        <f>7</f>
        <v>7</v>
      </c>
    </row>
    <row r="31" spans="1:12" x14ac:dyDescent="0.25">
      <c r="A31" s="3" t="s">
        <v>510</v>
      </c>
      <c r="D31" s="116">
        <f>B11</f>
        <v>3.3579999999999997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3.7309999999999994</v>
      </c>
      <c r="J31" s="10">
        <f>7</f>
        <v>7</v>
      </c>
    </row>
    <row r="32" spans="1:12" x14ac:dyDescent="0.25">
      <c r="A32" s="3" t="s">
        <v>511</v>
      </c>
      <c r="D32" s="116">
        <f>D27</f>
        <v>3.4309999999999996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3.7309999999999994</v>
      </c>
      <c r="J32" s="10">
        <f>7</f>
        <v>7</v>
      </c>
    </row>
    <row r="33" spans="1:12" x14ac:dyDescent="0.25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25">
      <c r="A34" s="3" t="s">
        <v>517</v>
      </c>
      <c r="C34" s="3" t="s">
        <v>525</v>
      </c>
      <c r="D34" s="50">
        <f>INTERCEPT(D31:D32,E31:E32)</f>
        <v>4.0879999999999992</v>
      </c>
      <c r="I34" s="3"/>
    </row>
    <row r="35" spans="1:12" x14ac:dyDescent="0.25">
      <c r="A35" s="3" t="s">
        <v>1</v>
      </c>
      <c r="D35" s="116">
        <f>D32</f>
        <v>3.4309999999999996</v>
      </c>
      <c r="E35" s="3">
        <v>2.75</v>
      </c>
      <c r="I35" s="3"/>
    </row>
    <row r="36" spans="1:12" x14ac:dyDescent="0.25">
      <c r="A36" s="3" t="s">
        <v>513</v>
      </c>
      <c r="D36" s="116"/>
      <c r="I36" s="3"/>
      <c r="J36" s="115"/>
      <c r="K36" s="115"/>
      <c r="L36" s="115"/>
    </row>
    <row r="37" spans="1:12" x14ac:dyDescent="0.25">
      <c r="D37" s="116"/>
      <c r="I37" s="3"/>
      <c r="J37" s="115"/>
      <c r="K37" s="115"/>
      <c r="L37" s="115"/>
    </row>
    <row r="38" spans="1:12" x14ac:dyDescent="0.25">
      <c r="D38" s="116"/>
      <c r="I38" s="3"/>
      <c r="J38" s="115"/>
      <c r="K38" s="115"/>
      <c r="L38" s="115"/>
    </row>
    <row r="39" spans="1:12" x14ac:dyDescent="0.25">
      <c r="D39" s="116"/>
      <c r="G39" s="116">
        <f>IF(B13=-1,B11,B13)</f>
        <v>2.7009999999999996</v>
      </c>
      <c r="H39" s="3">
        <v>1.25</v>
      </c>
      <c r="I39" s="3"/>
      <c r="J39" s="115"/>
      <c r="K39" s="115"/>
      <c r="L39" s="115"/>
    </row>
    <row r="40" spans="1:12" x14ac:dyDescent="0.25">
      <c r="D40" s="116">
        <f>D31</f>
        <v>3.3579999999999997</v>
      </c>
      <c r="E40" s="3">
        <v>2.5</v>
      </c>
      <c r="G40" s="116">
        <f>G175</f>
        <v>2.6234999999999995</v>
      </c>
      <c r="H40" s="3">
        <v>1</v>
      </c>
      <c r="I40" s="3"/>
      <c r="J40" s="115"/>
      <c r="K40" s="115"/>
      <c r="L40" s="115"/>
    </row>
    <row r="41" spans="1:12" x14ac:dyDescent="0.25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0.3100000000000005</v>
      </c>
      <c r="I41" s="3"/>
      <c r="J41" s="115"/>
      <c r="K41" s="115"/>
      <c r="L41" s="115"/>
    </row>
    <row r="42" spans="1:12" x14ac:dyDescent="0.25">
      <c r="C42" s="3" t="s">
        <v>525</v>
      </c>
      <c r="D42" s="50">
        <f>INTERCEPT(D35:D40,E35:E40)</f>
        <v>2.6280000000000001</v>
      </c>
      <c r="G42" s="116" t="s">
        <v>553</v>
      </c>
      <c r="H42" s="3">
        <f>INTERCEPT(G39:G40,H39:H40)</f>
        <v>2.3134999999999986</v>
      </c>
      <c r="I42" s="3"/>
      <c r="J42" s="115"/>
      <c r="K42" s="115"/>
      <c r="L42" s="115"/>
    </row>
    <row r="43" spans="1:12" x14ac:dyDescent="0.25">
      <c r="D43" s="116">
        <f>D40</f>
        <v>3.3579999999999997</v>
      </c>
      <c r="E43" s="3">
        <v>3</v>
      </c>
      <c r="I43" s="3"/>
      <c r="J43" s="115"/>
      <c r="K43" s="115"/>
      <c r="L43" s="115"/>
    </row>
    <row r="44" spans="1:12" x14ac:dyDescent="0.25">
      <c r="D44" s="116">
        <f>D35</f>
        <v>3.4309999999999996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25">
      <c r="C45" s="3" t="s">
        <v>527</v>
      </c>
      <c r="D45" s="50">
        <f>SLOPE(D43:D44,E43:E44)</f>
        <v>-0.29199999999999982</v>
      </c>
      <c r="G45" s="116">
        <f>G39</f>
        <v>2.7009999999999996</v>
      </c>
      <c r="H45" s="3">
        <f>H39</f>
        <v>1.25</v>
      </c>
      <c r="I45" s="3"/>
    </row>
    <row r="46" spans="1:12" x14ac:dyDescent="0.25">
      <c r="C46" s="3" t="s">
        <v>525</v>
      </c>
      <c r="D46" s="50">
        <f>INTERCEPT(D43:D44,E43:E44)</f>
        <v>4.2339999999999991</v>
      </c>
      <c r="G46" s="116" t="s">
        <v>552</v>
      </c>
      <c r="H46" s="3">
        <f>SLOPE(G44:G45,H44:H45)</f>
        <v>-2.3359999999999985</v>
      </c>
      <c r="I46" s="3"/>
    </row>
    <row r="47" spans="1:12" x14ac:dyDescent="0.25">
      <c r="D47" s="50"/>
      <c r="G47" s="116" t="s">
        <v>553</v>
      </c>
      <c r="H47" s="3">
        <f>INTERCEPT(G44:G45,H44:H45)</f>
        <v>5.6209999999999978</v>
      </c>
      <c r="I47" s="3"/>
    </row>
    <row r="48" spans="1:12" x14ac:dyDescent="0.25">
      <c r="D48" s="50"/>
      <c r="I48" s="3"/>
      <c r="J48" s="115"/>
      <c r="K48" s="115"/>
      <c r="L48" s="115"/>
    </row>
    <row r="49" spans="4:12" x14ac:dyDescent="0.25">
      <c r="D49" s="50"/>
      <c r="G49" s="116">
        <f>G45</f>
        <v>2.7009999999999996</v>
      </c>
      <c r="H49" s="3">
        <v>1.75</v>
      </c>
      <c r="I49" s="3"/>
      <c r="J49" s="115"/>
      <c r="K49" s="115"/>
      <c r="L49" s="115"/>
    </row>
    <row r="50" spans="4:12" x14ac:dyDescent="0.25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25">
      <c r="D51" s="50"/>
      <c r="G51" s="116" t="s">
        <v>552</v>
      </c>
      <c r="H51" s="3">
        <f>SLOPE(G49:G50,H49:H50)</f>
        <v>2.3359999999999985</v>
      </c>
      <c r="I51" s="3"/>
      <c r="J51" s="115"/>
      <c r="K51" s="115"/>
      <c r="L51" s="115"/>
    </row>
    <row r="52" spans="4:12" x14ac:dyDescent="0.25">
      <c r="D52" s="50"/>
      <c r="G52" s="116" t="s">
        <v>553</v>
      </c>
      <c r="H52" s="3">
        <f>INTERCEPT(G49:G50,H49:H50)</f>
        <v>-1.3869999999999978</v>
      </c>
      <c r="I52" s="3"/>
      <c r="J52" s="115"/>
      <c r="K52" s="115"/>
      <c r="L52" s="115"/>
    </row>
    <row r="53" spans="4:12" x14ac:dyDescent="0.25">
      <c r="D53" s="50"/>
      <c r="I53" s="3"/>
      <c r="J53" s="115"/>
      <c r="K53" s="115"/>
      <c r="L53" s="115"/>
    </row>
    <row r="54" spans="4:12" x14ac:dyDescent="0.25">
      <c r="D54" s="50"/>
      <c r="G54" s="116">
        <f>H275-H74</f>
        <v>2.6234999999999995</v>
      </c>
      <c r="H54" s="3">
        <v>2</v>
      </c>
      <c r="I54" s="3"/>
      <c r="J54" s="115"/>
      <c r="K54" s="115"/>
      <c r="L54" s="115"/>
    </row>
    <row r="55" spans="4:12" x14ac:dyDescent="0.25">
      <c r="D55" s="50"/>
      <c r="G55" s="116">
        <f>G49</f>
        <v>2.7009999999999996</v>
      </c>
      <c r="H55" s="3">
        <f>H49</f>
        <v>1.75</v>
      </c>
      <c r="I55" s="3"/>
      <c r="J55" s="115"/>
      <c r="K55" s="115"/>
      <c r="L55" s="115"/>
    </row>
    <row r="56" spans="4:12" x14ac:dyDescent="0.25">
      <c r="D56" s="50"/>
      <c r="G56" s="116" t="s">
        <v>552</v>
      </c>
      <c r="H56" s="3">
        <f>SLOPE(G54:G55,H54:H55)</f>
        <v>-0.3100000000000005</v>
      </c>
      <c r="I56" s="3"/>
      <c r="J56" s="115"/>
      <c r="K56" s="115"/>
      <c r="L56" s="115"/>
    </row>
    <row r="57" spans="4:12" x14ac:dyDescent="0.25">
      <c r="D57" s="50"/>
      <c r="G57" s="116" t="s">
        <v>553</v>
      </c>
      <c r="H57" s="3">
        <f>INTERCEPT(G54:G55,H54:H55)</f>
        <v>3.2435</v>
      </c>
      <c r="I57" s="3"/>
      <c r="J57" s="115"/>
      <c r="K57" s="115"/>
      <c r="L57" s="115"/>
    </row>
    <row r="58" spans="4:12" x14ac:dyDescent="0.25">
      <c r="D58" s="50"/>
      <c r="I58" s="3"/>
      <c r="J58" s="115"/>
      <c r="K58" s="115"/>
      <c r="L58" s="115"/>
    </row>
    <row r="59" spans="4:12" x14ac:dyDescent="0.25">
      <c r="D59" s="50"/>
      <c r="I59" s="3"/>
      <c r="J59" s="115"/>
      <c r="K59" s="115"/>
      <c r="L59" s="115"/>
    </row>
    <row r="60" spans="4:12" x14ac:dyDescent="0.25">
      <c r="D60" s="50"/>
      <c r="I60" s="3"/>
    </row>
    <row r="61" spans="4:12" x14ac:dyDescent="0.25">
      <c r="D61" s="50"/>
      <c r="G61" s="116">
        <f>G62-H72</f>
        <v>2.5384999999999995</v>
      </c>
      <c r="H61" s="3">
        <v>3</v>
      </c>
      <c r="I61" s="3"/>
    </row>
    <row r="62" spans="4:12" x14ac:dyDescent="0.25">
      <c r="D62" s="50"/>
      <c r="G62" s="116">
        <f>H176</f>
        <v>2.6384999999999996</v>
      </c>
      <c r="H62" s="3">
        <v>2</v>
      </c>
      <c r="I62" s="3"/>
    </row>
    <row r="63" spans="4:12" x14ac:dyDescent="0.25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25">
      <c r="D64" s="50"/>
      <c r="G64" s="116" t="s">
        <v>553</v>
      </c>
      <c r="H64" s="3">
        <f>INTERCEPT(G61:G62,H61:H62)</f>
        <v>2.8384999999999998</v>
      </c>
      <c r="I64" s="3"/>
      <c r="J64" s="115"/>
      <c r="K64" s="115"/>
      <c r="L64" s="115"/>
    </row>
    <row r="65" spans="1:27" x14ac:dyDescent="0.25">
      <c r="I65" s="3"/>
    </row>
    <row r="66" spans="1:27" x14ac:dyDescent="0.25">
      <c r="G66" s="116">
        <f>G67-H72</f>
        <v>2.6374999999999997</v>
      </c>
      <c r="H66" s="3">
        <v>1</v>
      </c>
      <c r="I66" s="3"/>
    </row>
    <row r="67" spans="1:27" x14ac:dyDescent="0.25">
      <c r="G67" s="116">
        <f>H76</f>
        <v>2.7374999999999998</v>
      </c>
      <c r="H67" s="3">
        <v>0</v>
      </c>
      <c r="I67" s="3"/>
    </row>
    <row r="68" spans="1:27" x14ac:dyDescent="0.25">
      <c r="G68" s="116" t="s">
        <v>552</v>
      </c>
      <c r="H68" s="3">
        <f>SLOPE(G66:G67,H66:H67)</f>
        <v>-0.10000000000000009</v>
      </c>
      <c r="I68" s="3"/>
    </row>
    <row r="69" spans="1:27" x14ac:dyDescent="0.25">
      <c r="G69" s="116" t="s">
        <v>553</v>
      </c>
      <c r="H69" s="3">
        <f>INTERCEPT(G66:G67,H66:H67)</f>
        <v>2.7374999999999998</v>
      </c>
      <c r="I69" s="3"/>
    </row>
    <row r="70" spans="1:27" x14ac:dyDescent="0.25">
      <c r="I70" s="3"/>
    </row>
    <row r="71" spans="1:27" x14ac:dyDescent="0.25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25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25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25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25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25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2.7374999999999998</v>
      </c>
      <c r="G76" s="117">
        <f t="shared" ref="G76:G107" si="1">(H76-$H$74)/(1-EXP(-1/G$74))*(1-EXP(-$B76/G$74))</f>
        <v>0</v>
      </c>
      <c r="H76" s="117">
        <f>IF(B12=-1,(B11+B16)/2,(B11+B16)/2)</f>
        <v>2.7374999999999998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25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1.7209482214107481</v>
      </c>
      <c r="F77" s="117">
        <f>F76</f>
        <v>2.7374999999999998</v>
      </c>
      <c r="G77" s="117">
        <f t="shared" si="1"/>
        <v>1.7203161008519197</v>
      </c>
      <c r="H77" s="117">
        <f t="shared" ref="H77:H108" si="4">$H$68*B77+$H$69</f>
        <v>2.7364999999999999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25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2.3540496913883215</v>
      </c>
      <c r="F78" s="117">
        <f t="shared" ref="F78:F117" si="13">F77</f>
        <v>2.7374999999999998</v>
      </c>
      <c r="G78" s="117">
        <f t="shared" si="1"/>
        <v>2.3523203619547952</v>
      </c>
      <c r="H78" s="117">
        <f t="shared" si="4"/>
        <v>2.7355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25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2.5869547063684899</v>
      </c>
      <c r="F79" s="117">
        <f t="shared" si="13"/>
        <v>2.7374999999999998</v>
      </c>
      <c r="G79" s="117">
        <f t="shared" si="1"/>
        <v>2.5841040675735938</v>
      </c>
      <c r="H79" s="117">
        <f t="shared" si="4"/>
        <v>2.7344999999999997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25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2.6726356731254208</v>
      </c>
      <c r="F80" s="117">
        <f t="shared" si="13"/>
        <v>2.7374999999999998</v>
      </c>
      <c r="G80" s="117">
        <f t="shared" si="1"/>
        <v>2.6687089356809759</v>
      </c>
      <c r="H80" s="117">
        <f t="shared" si="4"/>
        <v>2.7334999999999998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25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2.7041559392949894</v>
      </c>
      <c r="F81" s="117">
        <f t="shared" si="13"/>
        <v>2.7374999999999998</v>
      </c>
      <c r="G81" s="117">
        <f t="shared" si="1"/>
        <v>2.699189629029985</v>
      </c>
      <c r="H81" s="117">
        <f t="shared" si="4"/>
        <v>2.7324999999999999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25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2.7157515971990254</v>
      </c>
      <c r="F82" s="117">
        <f t="shared" si="13"/>
        <v>2.7374999999999998</v>
      </c>
      <c r="G82" s="117">
        <f t="shared" si="1"/>
        <v>2.7097664697120853</v>
      </c>
      <c r="H82" s="117">
        <f t="shared" si="4"/>
        <v>2.7314999999999996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25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2.7200174013487777</v>
      </c>
      <c r="F83" s="117">
        <f t="shared" si="13"/>
        <v>2.7374999999999998</v>
      </c>
      <c r="G83" s="117">
        <f t="shared" si="1"/>
        <v>2.7130237845225365</v>
      </c>
      <c r="H83" s="117">
        <f t="shared" si="4"/>
        <v>2.7304999999999997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25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2.721586702995535</v>
      </c>
      <c r="F84" s="117">
        <f t="shared" si="13"/>
        <v>2.7374999999999998</v>
      </c>
      <c r="G84" s="117">
        <f t="shared" si="1"/>
        <v>2.7135893866965581</v>
      </c>
      <c r="H84" s="117">
        <f t="shared" si="4"/>
        <v>2.7294999999999998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25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2.7221640168083736</v>
      </c>
      <c r="F85" s="117">
        <f t="shared" si="13"/>
        <v>2.7374999999999998</v>
      </c>
      <c r="G85" s="117">
        <f t="shared" si="1"/>
        <v>2.7131651274966107</v>
      </c>
      <c r="H85" s="117">
        <f t="shared" si="4"/>
        <v>2.7284999999999999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25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2.7223763986912215</v>
      </c>
      <c r="F86" s="117">
        <f t="shared" si="13"/>
        <v>2.7374999999999998</v>
      </c>
      <c r="G86" s="117">
        <f t="shared" si="1"/>
        <v>2.712376852690519</v>
      </c>
      <c r="H86" s="117">
        <f t="shared" si="4"/>
        <v>2.7275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25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2.7224545296195983</v>
      </c>
      <c r="F87" s="117">
        <f t="shared" si="13"/>
        <v>2.7374999999999998</v>
      </c>
      <c r="G87" s="117">
        <f t="shared" si="1"/>
        <v>2.7114547133383069</v>
      </c>
      <c r="H87" s="117">
        <f t="shared" si="4"/>
        <v>2.7264999999999997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25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2.7224832723818677</v>
      </c>
      <c r="F88" s="117">
        <f t="shared" si="13"/>
        <v>2.7374999999999998</v>
      </c>
      <c r="G88" s="117">
        <f t="shared" si="1"/>
        <v>2.710483346112416</v>
      </c>
      <c r="H88" s="117">
        <f t="shared" si="4"/>
        <v>2.7254999999999998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25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2.7224938462531894</v>
      </c>
      <c r="F89" s="117">
        <f t="shared" si="13"/>
        <v>2.7374999999999998</v>
      </c>
      <c r="G89" s="117">
        <f t="shared" si="1"/>
        <v>2.7094938756374716</v>
      </c>
      <c r="H89" s="117">
        <f t="shared" si="4"/>
        <v>2.7244999999999999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25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2.7224977361630618</v>
      </c>
      <c r="F90" s="117">
        <f t="shared" si="13"/>
        <v>2.7374999999999998</v>
      </c>
      <c r="G90" s="117">
        <f t="shared" si="1"/>
        <v>2.7084977478044641</v>
      </c>
      <c r="H90" s="117">
        <f t="shared" si="4"/>
        <v>2.7235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25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2.7224991671809322</v>
      </c>
      <c r="F91" s="117">
        <f t="shared" si="13"/>
        <v>2.7374999999999998</v>
      </c>
      <c r="G91" s="117">
        <f t="shared" si="1"/>
        <v>2.707499171769467</v>
      </c>
      <c r="H91" s="117">
        <f t="shared" si="4"/>
        <v>2.7224999999999997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25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2.7224996936229866</v>
      </c>
      <c r="F92" s="117">
        <f t="shared" si="13"/>
        <v>2.7374999999999998</v>
      </c>
      <c r="G92" s="117">
        <f t="shared" si="1"/>
        <v>2.7064996954235494</v>
      </c>
      <c r="H92" s="117">
        <f t="shared" si="4"/>
        <v>2.7214999999999998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25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2.7224998872901955</v>
      </c>
      <c r="F93" s="117">
        <f t="shared" si="13"/>
        <v>2.7374999999999998</v>
      </c>
      <c r="G93" s="117">
        <f t="shared" si="1"/>
        <v>2.7054998879939851</v>
      </c>
      <c r="H93" s="117">
        <f t="shared" si="4"/>
        <v>2.7204999999999999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25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2.72249995853638</v>
      </c>
      <c r="F94" s="117">
        <f t="shared" si="13"/>
        <v>2.7374999999999998</v>
      </c>
      <c r="G94" s="117">
        <f t="shared" si="1"/>
        <v>2.7044999588105192</v>
      </c>
      <c r="H94" s="117">
        <f t="shared" si="4"/>
        <v>2.7194999999999996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25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2.7224999847463862</v>
      </c>
      <c r="F95" s="117">
        <f t="shared" si="13"/>
        <v>2.7374999999999998</v>
      </c>
      <c r="G95" s="117">
        <f t="shared" si="1"/>
        <v>2.7034999848528392</v>
      </c>
      <c r="H95" s="117">
        <f t="shared" si="4"/>
        <v>2.7184999999999997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25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2.7224999943885089</v>
      </c>
      <c r="F96" s="117">
        <f t="shared" si="13"/>
        <v>2.7374999999999998</v>
      </c>
      <c r="G96" s="117">
        <f t="shared" si="1"/>
        <v>2.7024999944297323</v>
      </c>
      <c r="H96" s="117">
        <f t="shared" si="4"/>
        <v>2.7174999999999998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25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2.7224999979356479</v>
      </c>
      <c r="F97" s="117">
        <f t="shared" si="13"/>
        <v>2.7374999999999998</v>
      </c>
      <c r="G97" s="117">
        <f t="shared" si="1"/>
        <v>2.7014999979515713</v>
      </c>
      <c r="H97" s="117">
        <f t="shared" si="4"/>
        <v>2.7164999999999999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25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2.7224999992405672</v>
      </c>
      <c r="F98" s="117">
        <f t="shared" si="13"/>
        <v>2.7374999999999998</v>
      </c>
      <c r="G98" s="117">
        <f t="shared" si="1"/>
        <v>2.7004999992467038</v>
      </c>
      <c r="H98" s="117">
        <f t="shared" si="4"/>
        <v>2.7154999999999996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25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2.7224999997206201</v>
      </c>
      <c r="F99" s="117">
        <f t="shared" si="13"/>
        <v>2.7374999999999998</v>
      </c>
      <c r="G99" s="117">
        <f t="shared" si="1"/>
        <v>2.6994999997229803</v>
      </c>
      <c r="H99" s="117">
        <f t="shared" si="4"/>
        <v>2.7144999999999997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25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2.7224999998972215</v>
      </c>
      <c r="F100" s="117">
        <f t="shared" si="13"/>
        <v>2.7374999999999998</v>
      </c>
      <c r="G100" s="117">
        <f t="shared" si="1"/>
        <v>2.6984999998981278</v>
      </c>
      <c r="H100" s="117">
        <f t="shared" si="4"/>
        <v>2.7134999999999998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25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2.7224999999621899</v>
      </c>
      <c r="F101" s="117">
        <f t="shared" si="13"/>
        <v>2.7374999999999998</v>
      </c>
      <c r="G101" s="117">
        <f t="shared" si="1"/>
        <v>2.6974999999625373</v>
      </c>
      <c r="H101" s="117">
        <f t="shared" si="4"/>
        <v>2.7124999999999999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25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2.7224999999860899</v>
      </c>
      <c r="F102" s="117">
        <f t="shared" si="13"/>
        <v>2.7374999999999998</v>
      </c>
      <c r="G102" s="117">
        <f t="shared" si="1"/>
        <v>2.6964999999862225</v>
      </c>
      <c r="H102" s="117">
        <f t="shared" si="4"/>
        <v>2.7114999999999996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25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2.7224999999948829</v>
      </c>
      <c r="F103" s="117">
        <f t="shared" si="13"/>
        <v>2.7374999999999998</v>
      </c>
      <c r="G103" s="117">
        <f t="shared" si="1"/>
        <v>2.6954999999949334</v>
      </c>
      <c r="H103" s="117">
        <f t="shared" si="4"/>
        <v>2.7104999999999997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25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2.7224999999981172</v>
      </c>
      <c r="F104" s="117">
        <f t="shared" si="13"/>
        <v>2.7374999999999998</v>
      </c>
      <c r="G104" s="117">
        <f t="shared" si="1"/>
        <v>2.6944999999981367</v>
      </c>
      <c r="H104" s="117">
        <f t="shared" si="4"/>
        <v>2.7094999999999998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25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2.7224999999993074</v>
      </c>
      <c r="F105" s="117">
        <f t="shared" si="13"/>
        <v>2.7374999999999998</v>
      </c>
      <c r="G105" s="117">
        <f t="shared" si="1"/>
        <v>2.6934999999993146</v>
      </c>
      <c r="H105" s="117">
        <f t="shared" si="4"/>
        <v>2.7084999999999999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25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2.7224999999997448</v>
      </c>
      <c r="F106" s="117">
        <f t="shared" si="13"/>
        <v>2.7374999999999998</v>
      </c>
      <c r="G106" s="117">
        <f t="shared" si="1"/>
        <v>2.6924999999997477</v>
      </c>
      <c r="H106" s="117">
        <f t="shared" si="4"/>
        <v>2.7074999999999996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25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2.722499999999906</v>
      </c>
      <c r="F107" s="117">
        <f t="shared" si="13"/>
        <v>2.7374999999999998</v>
      </c>
      <c r="G107" s="117">
        <f t="shared" si="1"/>
        <v>2.6914999999999067</v>
      </c>
      <c r="H107" s="117">
        <f t="shared" si="4"/>
        <v>2.7064999999999997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25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2.7224999999999651</v>
      </c>
      <c r="F108" s="117">
        <f t="shared" si="13"/>
        <v>2.7374999999999998</v>
      </c>
      <c r="G108" s="117">
        <f t="shared" ref="G108:G139" si="20">(H108-$H$74)/(1-EXP(-1/G$74))*(1-EXP(-$B108/G$74))</f>
        <v>2.6904999999999655</v>
      </c>
      <c r="H108" s="117">
        <f t="shared" si="4"/>
        <v>2.7054999999999998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25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2.7224999999999868</v>
      </c>
      <c r="F109" s="117">
        <f t="shared" si="13"/>
        <v>2.7374999999999998</v>
      </c>
      <c r="G109" s="117">
        <f t="shared" si="20"/>
        <v>2.6894999999999873</v>
      </c>
      <c r="H109" s="117">
        <f t="shared" ref="H109:H140" si="22">$H$68*B109+$H$69</f>
        <v>2.7044999999999999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25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2.7224999999999953</v>
      </c>
      <c r="F110" s="117">
        <f t="shared" si="13"/>
        <v>2.7374999999999998</v>
      </c>
      <c r="G110" s="117">
        <f t="shared" si="20"/>
        <v>2.688499999999995</v>
      </c>
      <c r="H110" s="117">
        <f t="shared" si="22"/>
        <v>2.7034999999999996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25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2.7224999999999979</v>
      </c>
      <c r="F111" s="117">
        <f t="shared" si="13"/>
        <v>2.7374999999999998</v>
      </c>
      <c r="G111" s="117">
        <f t="shared" si="20"/>
        <v>2.6874999999999978</v>
      </c>
      <c r="H111" s="117">
        <f t="shared" si="22"/>
        <v>2.7024999999999997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25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2.7224999999999993</v>
      </c>
      <c r="F112" s="117">
        <f t="shared" si="13"/>
        <v>2.7374999999999998</v>
      </c>
      <c r="G112" s="117">
        <f t="shared" si="20"/>
        <v>2.6864999999999992</v>
      </c>
      <c r="H112" s="117">
        <f t="shared" si="22"/>
        <v>2.7014999999999998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25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2.7224999999999993</v>
      </c>
      <c r="F113" s="117">
        <f t="shared" si="13"/>
        <v>2.7374999999999998</v>
      </c>
      <c r="G113" s="117">
        <f t="shared" si="20"/>
        <v>2.6854999999999993</v>
      </c>
      <c r="H113" s="117">
        <f t="shared" si="22"/>
        <v>2.7004999999999999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25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2.7224999999999997</v>
      </c>
      <c r="F114" s="117">
        <f t="shared" si="13"/>
        <v>2.7374999999999998</v>
      </c>
      <c r="G114" s="117">
        <f t="shared" si="20"/>
        <v>2.6844999999999994</v>
      </c>
      <c r="H114" s="117">
        <f t="shared" si="22"/>
        <v>2.6994999999999996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25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2.7224999999999997</v>
      </c>
      <c r="F115" s="117">
        <f t="shared" si="13"/>
        <v>2.7374999999999998</v>
      </c>
      <c r="G115" s="117">
        <f t="shared" si="20"/>
        <v>2.6834999999999996</v>
      </c>
      <c r="H115" s="117">
        <f t="shared" si="22"/>
        <v>2.6984999999999997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25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2.7224999999999997</v>
      </c>
      <c r="F116" s="117">
        <f t="shared" si="13"/>
        <v>2.7374999999999998</v>
      </c>
      <c r="G116" s="117">
        <f t="shared" si="20"/>
        <v>2.6824999999999997</v>
      </c>
      <c r="H116" s="117">
        <f t="shared" si="22"/>
        <v>2.6974999999999998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25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2.7224999999999997</v>
      </c>
      <c r="F117" s="117">
        <f t="shared" si="13"/>
        <v>2.7374999999999998</v>
      </c>
      <c r="G117" s="117">
        <f t="shared" si="20"/>
        <v>2.6814999999999998</v>
      </c>
      <c r="H117" s="117">
        <f t="shared" si="22"/>
        <v>2.6964999999999999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25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2.7224999999999997</v>
      </c>
      <c r="F118" s="117">
        <f t="shared" ref="F118:F176" si="23">F117</f>
        <v>2.7374999999999998</v>
      </c>
      <c r="G118" s="117">
        <f t="shared" si="20"/>
        <v>2.6804999999999994</v>
      </c>
      <c r="H118" s="117">
        <f t="shared" si="22"/>
        <v>2.6954999999999996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25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2.7224999999999997</v>
      </c>
      <c r="F119" s="117">
        <f t="shared" si="23"/>
        <v>2.7374999999999998</v>
      </c>
      <c r="G119" s="117">
        <f t="shared" si="20"/>
        <v>2.6794999999999995</v>
      </c>
      <c r="H119" s="117">
        <f t="shared" si="22"/>
        <v>2.6944999999999997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25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2.7224999999999997</v>
      </c>
      <c r="F120" s="117">
        <f t="shared" si="23"/>
        <v>2.7374999999999998</v>
      </c>
      <c r="G120" s="117">
        <f t="shared" si="20"/>
        <v>2.6784999999999997</v>
      </c>
      <c r="H120" s="117">
        <f t="shared" si="22"/>
        <v>2.6934999999999998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25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2.7224999999999997</v>
      </c>
      <c r="F121" s="117">
        <f t="shared" si="23"/>
        <v>2.7374999999999998</v>
      </c>
      <c r="G121" s="117">
        <f t="shared" si="20"/>
        <v>2.6774999999999998</v>
      </c>
      <c r="H121" s="117">
        <f t="shared" si="22"/>
        <v>2.6924999999999999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25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2.7224999999999997</v>
      </c>
      <c r="F122" s="117">
        <f t="shared" si="23"/>
        <v>2.7374999999999998</v>
      </c>
      <c r="G122" s="117">
        <f t="shared" si="20"/>
        <v>2.6764999999999994</v>
      </c>
      <c r="H122" s="117">
        <f t="shared" si="22"/>
        <v>2.6914999999999996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25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2.7224999999999997</v>
      </c>
      <c r="F123" s="117">
        <f t="shared" si="23"/>
        <v>2.7374999999999998</v>
      </c>
      <c r="G123" s="117">
        <f t="shared" si="20"/>
        <v>2.6754999999999995</v>
      </c>
      <c r="H123" s="117">
        <f t="shared" si="22"/>
        <v>2.6904999999999997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25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2.7224999999999997</v>
      </c>
      <c r="F124" s="117">
        <f t="shared" si="23"/>
        <v>2.7374999999999998</v>
      </c>
      <c r="G124" s="117">
        <f t="shared" si="20"/>
        <v>2.6744999999999997</v>
      </c>
      <c r="H124" s="117">
        <f t="shared" si="22"/>
        <v>2.6894999999999998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25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2.7224999999999997</v>
      </c>
      <c r="F125" s="117">
        <f t="shared" si="23"/>
        <v>2.7374999999999998</v>
      </c>
      <c r="G125" s="117">
        <f t="shared" si="20"/>
        <v>2.6734999999999998</v>
      </c>
      <c r="H125" s="117">
        <f t="shared" si="22"/>
        <v>2.6884999999999999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25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2.7224999999999997</v>
      </c>
      <c r="F126" s="117">
        <f t="shared" si="23"/>
        <v>2.7374999999999998</v>
      </c>
      <c r="G126" s="117">
        <f t="shared" si="20"/>
        <v>2.6724999999999994</v>
      </c>
      <c r="H126" s="117">
        <f t="shared" si="22"/>
        <v>2.6874999999999996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25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2.7224999999999997</v>
      </c>
      <c r="F127" s="117">
        <f t="shared" si="23"/>
        <v>2.7374999999999998</v>
      </c>
      <c r="G127" s="117">
        <f t="shared" si="20"/>
        <v>2.6714999999999995</v>
      </c>
      <c r="H127" s="117">
        <f t="shared" si="22"/>
        <v>2.6864999999999997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25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2.7224999999999997</v>
      </c>
      <c r="F128" s="117">
        <f t="shared" si="23"/>
        <v>2.7374999999999998</v>
      </c>
      <c r="G128" s="117">
        <f t="shared" si="20"/>
        <v>2.6704999999999997</v>
      </c>
      <c r="H128" s="117">
        <f t="shared" si="22"/>
        <v>2.6854999999999998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25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2.7224999999999997</v>
      </c>
      <c r="F129" s="117">
        <f t="shared" si="23"/>
        <v>2.7374999999999998</v>
      </c>
      <c r="G129" s="117">
        <f t="shared" si="20"/>
        <v>2.6694999999999998</v>
      </c>
      <c r="H129" s="117">
        <f t="shared" si="22"/>
        <v>2.6844999999999999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25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2.7224999999999997</v>
      </c>
      <c r="F130" s="117">
        <f t="shared" si="23"/>
        <v>2.7374999999999998</v>
      </c>
      <c r="G130" s="117">
        <f t="shared" si="20"/>
        <v>2.6684999999999994</v>
      </c>
      <c r="H130" s="117">
        <f t="shared" si="22"/>
        <v>2.6834999999999996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25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2.7224999999999997</v>
      </c>
      <c r="F131" s="117">
        <f t="shared" si="23"/>
        <v>2.7374999999999998</v>
      </c>
      <c r="G131" s="117">
        <f t="shared" si="20"/>
        <v>2.6674999999999995</v>
      </c>
      <c r="H131" s="117">
        <f t="shared" si="22"/>
        <v>2.6824999999999997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25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2.7224999999999997</v>
      </c>
      <c r="F132" s="117">
        <f t="shared" si="23"/>
        <v>2.7374999999999998</v>
      </c>
      <c r="G132" s="117">
        <f t="shared" si="20"/>
        <v>2.6664999999999996</v>
      </c>
      <c r="H132" s="117">
        <f t="shared" si="22"/>
        <v>2.6814999999999998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25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2.7224999999999997</v>
      </c>
      <c r="F133" s="117">
        <f t="shared" si="23"/>
        <v>2.7374999999999998</v>
      </c>
      <c r="G133" s="117">
        <f t="shared" si="20"/>
        <v>2.6654999999999998</v>
      </c>
      <c r="H133" s="117">
        <f t="shared" si="22"/>
        <v>2.6804999999999999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25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2.7224999999999997</v>
      </c>
      <c r="F134" s="117">
        <f t="shared" si="23"/>
        <v>2.7374999999999998</v>
      </c>
      <c r="G134" s="117">
        <f t="shared" si="20"/>
        <v>2.6644999999999994</v>
      </c>
      <c r="H134" s="117">
        <f t="shared" si="22"/>
        <v>2.6794999999999995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25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2.7224999999999997</v>
      </c>
      <c r="F135" s="117">
        <f t="shared" si="23"/>
        <v>2.7374999999999998</v>
      </c>
      <c r="G135" s="117">
        <f t="shared" si="20"/>
        <v>2.6634999999999995</v>
      </c>
      <c r="H135" s="117">
        <f t="shared" si="22"/>
        <v>2.6784999999999997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25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2.7224999999999997</v>
      </c>
      <c r="F136" s="117">
        <f t="shared" si="23"/>
        <v>2.7374999999999998</v>
      </c>
      <c r="G136" s="117">
        <f t="shared" si="20"/>
        <v>2.6624999999999996</v>
      </c>
      <c r="H136" s="117">
        <f t="shared" si="22"/>
        <v>2.6774999999999998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25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2.7224999999999997</v>
      </c>
      <c r="F137" s="117">
        <f t="shared" si="23"/>
        <v>2.7374999999999998</v>
      </c>
      <c r="G137" s="117">
        <f t="shared" si="20"/>
        <v>2.6614999999999998</v>
      </c>
      <c r="H137" s="117">
        <f t="shared" si="22"/>
        <v>2.6764999999999999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25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2.7224999999999997</v>
      </c>
      <c r="F138" s="117">
        <f t="shared" si="23"/>
        <v>2.7374999999999998</v>
      </c>
      <c r="G138" s="117">
        <f t="shared" si="20"/>
        <v>2.6604999999999994</v>
      </c>
      <c r="H138" s="117">
        <f t="shared" si="22"/>
        <v>2.6754999999999995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25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2.7224999999999997</v>
      </c>
      <c r="F139" s="117">
        <f t="shared" si="23"/>
        <v>2.7374999999999998</v>
      </c>
      <c r="G139" s="117">
        <f t="shared" si="20"/>
        <v>2.6594999999999995</v>
      </c>
      <c r="H139" s="117">
        <f t="shared" si="22"/>
        <v>2.6744999999999997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25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2.7224999999999997</v>
      </c>
      <c r="F140" s="117">
        <f t="shared" si="23"/>
        <v>2.7374999999999998</v>
      </c>
      <c r="G140" s="117">
        <f t="shared" ref="G140:G171" si="25">(H140-$H$74)/(1-EXP(-1/G$74))*(1-EXP(-$B140/G$74))</f>
        <v>2.6584999999999996</v>
      </c>
      <c r="H140" s="117">
        <f t="shared" si="22"/>
        <v>2.6734999999999998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25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2.7224999999999997</v>
      </c>
      <c r="F141" s="117">
        <f t="shared" si="23"/>
        <v>2.7374999999999998</v>
      </c>
      <c r="G141" s="117">
        <f t="shared" si="25"/>
        <v>2.6574999999999998</v>
      </c>
      <c r="H141" s="117">
        <f t="shared" ref="H141:H175" si="28">$H$68*B141+$H$69</f>
        <v>2.6724999999999999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25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2.7224999999999997</v>
      </c>
      <c r="F142" s="117">
        <f t="shared" si="23"/>
        <v>2.7374999999999998</v>
      </c>
      <c r="G142" s="117">
        <f t="shared" si="25"/>
        <v>2.6564999999999994</v>
      </c>
      <c r="H142" s="117">
        <f t="shared" si="28"/>
        <v>2.6714999999999995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25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2.7224999999999997</v>
      </c>
      <c r="F143" s="117">
        <f t="shared" si="23"/>
        <v>2.7374999999999998</v>
      </c>
      <c r="G143" s="117">
        <f t="shared" si="25"/>
        <v>2.6554999999999995</v>
      </c>
      <c r="H143" s="117">
        <f t="shared" si="28"/>
        <v>2.6704999999999997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25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2.7224999999999997</v>
      </c>
      <c r="F144" s="117">
        <f t="shared" si="23"/>
        <v>2.7374999999999998</v>
      </c>
      <c r="G144" s="117">
        <f t="shared" si="25"/>
        <v>2.6544999999999996</v>
      </c>
      <c r="H144" s="117">
        <f t="shared" si="28"/>
        <v>2.6694999999999998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25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2.7224999999999997</v>
      </c>
      <c r="F145" s="117">
        <f t="shared" si="23"/>
        <v>2.7374999999999998</v>
      </c>
      <c r="G145" s="117">
        <f t="shared" si="25"/>
        <v>2.6534999999999997</v>
      </c>
      <c r="H145" s="117">
        <f t="shared" si="28"/>
        <v>2.6684999999999999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25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2.7224999999999997</v>
      </c>
      <c r="F146" s="117">
        <f t="shared" si="23"/>
        <v>2.7374999999999998</v>
      </c>
      <c r="G146" s="117">
        <f t="shared" si="25"/>
        <v>2.6524999999999994</v>
      </c>
      <c r="H146" s="117">
        <f t="shared" si="28"/>
        <v>2.6674999999999995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25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2.7224999999999997</v>
      </c>
      <c r="F147" s="117">
        <f t="shared" si="23"/>
        <v>2.7374999999999998</v>
      </c>
      <c r="G147" s="117">
        <f t="shared" si="25"/>
        <v>2.6514999999999995</v>
      </c>
      <c r="H147" s="117">
        <f t="shared" si="28"/>
        <v>2.6664999999999996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25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2.7224999999999997</v>
      </c>
      <c r="F148" s="117">
        <f t="shared" si="23"/>
        <v>2.7374999999999998</v>
      </c>
      <c r="G148" s="117">
        <f t="shared" si="25"/>
        <v>2.6504999999999996</v>
      </c>
      <c r="H148" s="117">
        <f t="shared" si="28"/>
        <v>2.6654999999999998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25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2.7224999999999997</v>
      </c>
      <c r="F149" s="117">
        <f t="shared" si="23"/>
        <v>2.7374999999999998</v>
      </c>
      <c r="G149" s="117">
        <f t="shared" si="25"/>
        <v>2.6494999999999997</v>
      </c>
      <c r="H149" s="117">
        <f t="shared" si="28"/>
        <v>2.6644999999999999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25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2.7224999999999997</v>
      </c>
      <c r="F150" s="117">
        <f t="shared" si="23"/>
        <v>2.7374999999999998</v>
      </c>
      <c r="G150" s="117">
        <f t="shared" si="25"/>
        <v>2.6484999999999994</v>
      </c>
      <c r="H150" s="117">
        <f t="shared" si="28"/>
        <v>2.6634999999999995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25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2.7224999999999997</v>
      </c>
      <c r="F151" s="117">
        <f t="shared" si="23"/>
        <v>2.7374999999999998</v>
      </c>
      <c r="G151" s="117">
        <f t="shared" si="25"/>
        <v>2.6474999999999995</v>
      </c>
      <c r="H151" s="117">
        <f t="shared" si="28"/>
        <v>2.6624999999999996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25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2.7224999999999997</v>
      </c>
      <c r="F152" s="117">
        <f t="shared" si="23"/>
        <v>2.7374999999999998</v>
      </c>
      <c r="G152" s="117">
        <f t="shared" si="25"/>
        <v>2.6464999999999996</v>
      </c>
      <c r="H152" s="117">
        <f t="shared" si="28"/>
        <v>2.6614999999999998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25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2.7224999999999997</v>
      </c>
      <c r="F153" s="117">
        <f t="shared" si="23"/>
        <v>2.7374999999999998</v>
      </c>
      <c r="G153" s="117">
        <f t="shared" si="25"/>
        <v>2.6454999999999997</v>
      </c>
      <c r="H153" s="117">
        <f t="shared" si="28"/>
        <v>2.6604999999999999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25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2.7224999999999997</v>
      </c>
      <c r="F154" s="117">
        <f t="shared" si="23"/>
        <v>2.7374999999999998</v>
      </c>
      <c r="G154" s="117">
        <f t="shared" si="25"/>
        <v>2.6444999999999994</v>
      </c>
      <c r="H154" s="117">
        <f t="shared" si="28"/>
        <v>2.6594999999999995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25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2.7224999999999997</v>
      </c>
      <c r="F155" s="117">
        <f t="shared" si="23"/>
        <v>2.7374999999999998</v>
      </c>
      <c r="G155" s="117">
        <f t="shared" si="25"/>
        <v>2.6434999999999995</v>
      </c>
      <c r="H155" s="117">
        <f t="shared" si="28"/>
        <v>2.6584999999999996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25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2.7224999999999997</v>
      </c>
      <c r="F156" s="117">
        <f t="shared" si="23"/>
        <v>2.7374999999999998</v>
      </c>
      <c r="G156" s="117">
        <f t="shared" si="25"/>
        <v>2.6424999999999996</v>
      </c>
      <c r="H156" s="117">
        <f t="shared" si="28"/>
        <v>2.6574999999999998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25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2.7224999999999997</v>
      </c>
      <c r="F157" s="117">
        <f t="shared" si="23"/>
        <v>2.7374999999999998</v>
      </c>
      <c r="G157" s="117">
        <f t="shared" si="25"/>
        <v>2.6414999999999997</v>
      </c>
      <c r="H157" s="117">
        <f t="shared" si="28"/>
        <v>2.6564999999999999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25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2.7224999999999997</v>
      </c>
      <c r="F158" s="117">
        <f t="shared" si="23"/>
        <v>2.7374999999999998</v>
      </c>
      <c r="G158" s="117">
        <f t="shared" si="25"/>
        <v>2.6404999999999994</v>
      </c>
      <c r="H158" s="117">
        <f t="shared" si="28"/>
        <v>2.6554999999999995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25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2.7224999999999997</v>
      </c>
      <c r="F159" s="117">
        <f t="shared" si="23"/>
        <v>2.7374999999999998</v>
      </c>
      <c r="G159" s="117">
        <f t="shared" si="25"/>
        <v>2.6394999999999995</v>
      </c>
      <c r="H159" s="117">
        <f t="shared" si="28"/>
        <v>2.6544999999999996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25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2.7224999999999997</v>
      </c>
      <c r="F160" s="117">
        <f t="shared" si="23"/>
        <v>2.7374999999999998</v>
      </c>
      <c r="G160" s="117">
        <f t="shared" si="25"/>
        <v>2.6384999999999996</v>
      </c>
      <c r="H160" s="117">
        <f t="shared" si="28"/>
        <v>2.6534999999999997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25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2.7224999999999997</v>
      </c>
      <c r="F161" s="117">
        <f t="shared" si="23"/>
        <v>2.7374999999999998</v>
      </c>
      <c r="G161" s="117">
        <f t="shared" si="25"/>
        <v>2.6374999999999997</v>
      </c>
      <c r="H161" s="117">
        <f t="shared" si="28"/>
        <v>2.6524999999999999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25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2.7224999999999997</v>
      </c>
      <c r="F162" s="117">
        <f t="shared" si="23"/>
        <v>2.7374999999999998</v>
      </c>
      <c r="G162" s="117">
        <f t="shared" si="25"/>
        <v>2.6364999999999994</v>
      </c>
      <c r="H162" s="117">
        <f t="shared" si="28"/>
        <v>2.6514999999999995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25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2.7224999999999997</v>
      </c>
      <c r="F163" s="117">
        <f t="shared" si="23"/>
        <v>2.7374999999999998</v>
      </c>
      <c r="G163" s="117">
        <f t="shared" si="25"/>
        <v>2.6354999999999995</v>
      </c>
      <c r="H163" s="117">
        <f t="shared" si="28"/>
        <v>2.6504999999999996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25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2.7224999999999997</v>
      </c>
      <c r="F164" s="117">
        <f t="shared" si="23"/>
        <v>2.7374999999999998</v>
      </c>
      <c r="G164" s="117">
        <f t="shared" si="25"/>
        <v>2.6344999999999996</v>
      </c>
      <c r="H164" s="117">
        <f t="shared" si="28"/>
        <v>2.6494999999999997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25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2.7224999999999997</v>
      </c>
      <c r="F165" s="117">
        <f t="shared" si="23"/>
        <v>2.7374999999999998</v>
      </c>
      <c r="G165" s="117">
        <f t="shared" si="25"/>
        <v>2.6334999999999997</v>
      </c>
      <c r="H165" s="117">
        <f t="shared" si="28"/>
        <v>2.6484999999999999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25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2.7224999999999997</v>
      </c>
      <c r="F166" s="117">
        <f t="shared" si="23"/>
        <v>2.7374999999999998</v>
      </c>
      <c r="G166" s="117">
        <f t="shared" si="25"/>
        <v>2.6324999999999994</v>
      </c>
      <c r="H166" s="117">
        <f t="shared" si="28"/>
        <v>2.6474999999999995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25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2.7224999999999997</v>
      </c>
      <c r="F167" s="117">
        <f t="shared" si="23"/>
        <v>2.7374999999999998</v>
      </c>
      <c r="G167" s="117">
        <f t="shared" si="25"/>
        <v>2.6314999999999995</v>
      </c>
      <c r="H167" s="117">
        <f t="shared" si="28"/>
        <v>2.6464999999999996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25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2.7224999999999997</v>
      </c>
      <c r="F168" s="117">
        <f t="shared" si="23"/>
        <v>2.7374999999999998</v>
      </c>
      <c r="G168" s="117">
        <f t="shared" si="25"/>
        <v>2.6304999999999996</v>
      </c>
      <c r="H168" s="117">
        <f t="shared" si="28"/>
        <v>2.6454999999999997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25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2.7224999999999997</v>
      </c>
      <c r="F169" s="117">
        <f t="shared" si="23"/>
        <v>2.7374999999999998</v>
      </c>
      <c r="G169" s="117">
        <f t="shared" si="25"/>
        <v>2.6294999999999997</v>
      </c>
      <c r="H169" s="117">
        <f t="shared" si="28"/>
        <v>2.6444999999999999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25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2.7224999999999997</v>
      </c>
      <c r="F170" s="117">
        <f t="shared" si="23"/>
        <v>2.7374999999999998</v>
      </c>
      <c r="G170" s="117">
        <f t="shared" si="25"/>
        <v>2.6284999999999994</v>
      </c>
      <c r="H170" s="117">
        <f t="shared" si="28"/>
        <v>2.6434999999999995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25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2.7224999999999997</v>
      </c>
      <c r="F171" s="117">
        <f t="shared" si="23"/>
        <v>2.7374999999999998</v>
      </c>
      <c r="G171" s="117">
        <f t="shared" si="25"/>
        <v>2.6274999999999995</v>
      </c>
      <c r="H171" s="117">
        <f t="shared" si="28"/>
        <v>2.6424999999999996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25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2.7224999999999997</v>
      </c>
      <c r="F172" s="117">
        <f t="shared" si="23"/>
        <v>2.7374999999999998</v>
      </c>
      <c r="G172" s="117">
        <f t="shared" ref="G172:G175" si="42">(H172-$H$74)/(1-EXP(-1/G$74))*(1-EXP(-$B172/G$74))</f>
        <v>2.6264999999999996</v>
      </c>
      <c r="H172" s="117">
        <f t="shared" si="28"/>
        <v>2.6414999999999997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25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2.7224999999999997</v>
      </c>
      <c r="F173" s="117">
        <f t="shared" si="23"/>
        <v>2.7374999999999998</v>
      </c>
      <c r="G173" s="117">
        <f t="shared" si="42"/>
        <v>2.6254999999999997</v>
      </c>
      <c r="H173" s="117">
        <f t="shared" si="28"/>
        <v>2.6404999999999998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25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2.7224999999999997</v>
      </c>
      <c r="F174" s="117">
        <f t="shared" si="23"/>
        <v>2.7374999999999998</v>
      </c>
      <c r="G174" s="117">
        <f t="shared" si="42"/>
        <v>2.6244999999999994</v>
      </c>
      <c r="H174" s="117">
        <f t="shared" si="28"/>
        <v>2.6394999999999995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25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2.7224999999999997</v>
      </c>
      <c r="F175" s="117">
        <f t="shared" si="23"/>
        <v>2.7374999999999998</v>
      </c>
      <c r="G175" s="117">
        <f t="shared" si="42"/>
        <v>2.6234999999999995</v>
      </c>
      <c r="H175" s="117">
        <f t="shared" si="28"/>
        <v>2.6384999999999996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25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2.7224999999999997</v>
      </c>
      <c r="F176" s="117">
        <f t="shared" si="23"/>
        <v>2.7374999999999998</v>
      </c>
      <c r="G176" s="117">
        <f>B176*$H$41+$H$42</f>
        <v>2.6234999999999991</v>
      </c>
      <c r="H176" s="117">
        <f>H175</f>
        <v>2.6384999999999996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25">
      <c r="A177" s="3">
        <f t="shared" si="26"/>
        <v>1</v>
      </c>
      <c r="B177" s="113">
        <f t="shared" si="35"/>
        <v>1.0100000000000007</v>
      </c>
      <c r="C177" s="117">
        <f>$D$11*$B177+$D$12</f>
        <v>1.3560400000000037</v>
      </c>
      <c r="D177" s="10">
        <f t="shared" si="36"/>
        <v>0.65</v>
      </c>
      <c r="E177" s="117">
        <f>$K$11*$B177+$K$12</f>
        <v>2.7444350000000006</v>
      </c>
      <c r="F177" s="117">
        <f t="shared" ref="F177:F208" si="46">E177+$F$74</f>
        <v>2.7594350000000007</v>
      </c>
      <c r="G177" s="117">
        <f t="shared" ref="G177:G200" si="47">B177*$H$41+$H$42</f>
        <v>2.6265999999999994</v>
      </c>
      <c r="H177" s="117">
        <f t="shared" ref="H177:H240" si="48">H176</f>
        <v>2.6384999999999996</v>
      </c>
      <c r="I177" s="116">
        <f>IF($B$7=constants!$C$60,G177,IF($B$8=constants!$C$60,C177,E177))</f>
        <v>1.3560400000000037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25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1.412080000000004</v>
      </c>
      <c r="D178" s="10">
        <f t="shared" si="36"/>
        <v>0.65</v>
      </c>
      <c r="E178" s="117">
        <f t="shared" ref="E178:E241" si="50">$K$11*$B178+$K$12</f>
        <v>2.7513700000000005</v>
      </c>
      <c r="F178" s="117">
        <f t="shared" si="46"/>
        <v>2.7663700000000007</v>
      </c>
      <c r="G178" s="117">
        <f t="shared" si="47"/>
        <v>2.6296999999999993</v>
      </c>
      <c r="H178" s="117">
        <f t="shared" si="48"/>
        <v>2.6384999999999996</v>
      </c>
      <c r="I178" s="116">
        <f>IF($B$7=constants!$C$60,G178,IF($B$8=constants!$C$60,C178,E178))</f>
        <v>1.412080000000004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25">
      <c r="A179" s="3">
        <f t="shared" si="26"/>
        <v>1</v>
      </c>
      <c r="B179" s="113">
        <f t="shared" si="35"/>
        <v>1.0300000000000007</v>
      </c>
      <c r="C179" s="117">
        <f t="shared" si="49"/>
        <v>1.4681200000000034</v>
      </c>
      <c r="D179" s="10">
        <f t="shared" si="36"/>
        <v>0.65</v>
      </c>
      <c r="E179" s="117">
        <f t="shared" si="50"/>
        <v>2.7583050000000009</v>
      </c>
      <c r="F179" s="117">
        <f t="shared" si="46"/>
        <v>2.773305000000001</v>
      </c>
      <c r="G179" s="117">
        <f t="shared" si="47"/>
        <v>2.6327999999999991</v>
      </c>
      <c r="H179" s="117">
        <f t="shared" si="48"/>
        <v>2.6384999999999996</v>
      </c>
      <c r="I179" s="116">
        <f>IF($B$7=constants!$C$60,G179,IF($B$8=constants!$C$60,C179,E179))</f>
        <v>1.4681200000000034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25">
      <c r="A180" s="3">
        <f t="shared" si="26"/>
        <v>1</v>
      </c>
      <c r="B180" s="113">
        <f t="shared" si="35"/>
        <v>1.0400000000000007</v>
      </c>
      <c r="C180" s="117">
        <f t="shared" si="49"/>
        <v>1.5241600000000037</v>
      </c>
      <c r="D180" s="10">
        <f t="shared" si="36"/>
        <v>0.65</v>
      </c>
      <c r="E180" s="117">
        <f t="shared" si="50"/>
        <v>2.7652400000000008</v>
      </c>
      <c r="F180" s="117">
        <f t="shared" si="46"/>
        <v>2.7802400000000009</v>
      </c>
      <c r="G180" s="117">
        <f t="shared" si="47"/>
        <v>2.6358999999999995</v>
      </c>
      <c r="H180" s="117">
        <f t="shared" si="48"/>
        <v>2.6384999999999996</v>
      </c>
      <c r="I180" s="116">
        <f>IF($B$7=constants!$C$60,G180,IF($B$8=constants!$C$60,C180,E180))</f>
        <v>1.5241600000000037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25">
      <c r="A181" s="3">
        <f t="shared" si="26"/>
        <v>1</v>
      </c>
      <c r="B181" s="113">
        <f t="shared" si="35"/>
        <v>1.0500000000000007</v>
      </c>
      <c r="C181" s="117">
        <f t="shared" si="49"/>
        <v>1.580200000000004</v>
      </c>
      <c r="D181" s="10">
        <f t="shared" si="36"/>
        <v>0.65</v>
      </c>
      <c r="E181" s="117">
        <f t="shared" si="50"/>
        <v>2.7721750000000007</v>
      </c>
      <c r="F181" s="117">
        <f t="shared" si="46"/>
        <v>2.7871750000000008</v>
      </c>
      <c r="G181" s="117">
        <f t="shared" si="47"/>
        <v>2.6389999999999993</v>
      </c>
      <c r="H181" s="117">
        <f t="shared" si="48"/>
        <v>2.6384999999999996</v>
      </c>
      <c r="I181" s="116">
        <f>IF($B$7=constants!$C$60,G181,IF($B$8=constants!$C$60,C181,E181))</f>
        <v>1.580200000000004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25">
      <c r="A182" s="3">
        <f t="shared" si="26"/>
        <v>1</v>
      </c>
      <c r="B182" s="113">
        <f t="shared" si="35"/>
        <v>1.0600000000000007</v>
      </c>
      <c r="C182" s="117">
        <f t="shared" si="49"/>
        <v>1.6362400000000035</v>
      </c>
      <c r="D182" s="10">
        <f t="shared" si="36"/>
        <v>0.65</v>
      </c>
      <c r="E182" s="117">
        <f t="shared" si="50"/>
        <v>2.7791100000000006</v>
      </c>
      <c r="F182" s="117">
        <f t="shared" si="46"/>
        <v>2.7941100000000008</v>
      </c>
      <c r="G182" s="117">
        <f t="shared" si="47"/>
        <v>2.6420999999999992</v>
      </c>
      <c r="H182" s="117">
        <f t="shared" si="48"/>
        <v>2.6384999999999996</v>
      </c>
      <c r="I182" s="116">
        <f>IF($B$7=constants!$C$60,G182,IF($B$8=constants!$C$60,C182,E182))</f>
        <v>1.6362400000000035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25">
      <c r="A183" s="3">
        <f t="shared" si="26"/>
        <v>1</v>
      </c>
      <c r="B183" s="113">
        <f t="shared" si="35"/>
        <v>1.0700000000000007</v>
      </c>
      <c r="C183" s="117">
        <f t="shared" si="49"/>
        <v>1.6922800000000038</v>
      </c>
      <c r="D183" s="10">
        <f t="shared" si="36"/>
        <v>0.65</v>
      </c>
      <c r="E183" s="117">
        <f t="shared" si="50"/>
        <v>2.7860450000000005</v>
      </c>
      <c r="F183" s="117">
        <f t="shared" si="46"/>
        <v>2.8010450000000007</v>
      </c>
      <c r="G183" s="117">
        <f t="shared" si="47"/>
        <v>2.6451999999999991</v>
      </c>
      <c r="H183" s="117">
        <f t="shared" si="48"/>
        <v>2.6384999999999996</v>
      </c>
      <c r="I183" s="116">
        <f>IF($B$7=constants!$C$60,G183,IF($B$8=constants!$C$60,C183,E183))</f>
        <v>1.6922800000000038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25">
      <c r="A184" s="3">
        <f t="shared" si="26"/>
        <v>1</v>
      </c>
      <c r="B184" s="113">
        <f t="shared" si="35"/>
        <v>1.0800000000000007</v>
      </c>
      <c r="C184" s="117">
        <f t="shared" si="49"/>
        <v>1.7483200000000041</v>
      </c>
      <c r="D184" s="10">
        <f t="shared" si="36"/>
        <v>0.65</v>
      </c>
      <c r="E184" s="117">
        <f t="shared" si="50"/>
        <v>2.7929800000000009</v>
      </c>
      <c r="F184" s="117">
        <f t="shared" si="46"/>
        <v>2.807980000000001</v>
      </c>
      <c r="G184" s="117">
        <f t="shared" si="47"/>
        <v>2.6482999999999994</v>
      </c>
      <c r="H184" s="117">
        <f t="shared" si="48"/>
        <v>2.6384999999999996</v>
      </c>
      <c r="I184" s="116">
        <f>IF($B$7=constants!$C$60,G184,IF($B$8=constants!$C$60,C184,E184))</f>
        <v>1.7483200000000041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25">
      <c r="A185" s="3">
        <f t="shared" si="26"/>
        <v>1</v>
      </c>
      <c r="B185" s="113">
        <f t="shared" si="35"/>
        <v>1.0900000000000007</v>
      </c>
      <c r="C185" s="117">
        <f t="shared" si="49"/>
        <v>1.8043600000000035</v>
      </c>
      <c r="D185" s="10">
        <f t="shared" si="36"/>
        <v>0.65</v>
      </c>
      <c r="E185" s="117">
        <f t="shared" si="50"/>
        <v>2.7999150000000008</v>
      </c>
      <c r="F185" s="117">
        <f t="shared" si="46"/>
        <v>2.8149150000000009</v>
      </c>
      <c r="G185" s="117">
        <f t="shared" si="47"/>
        <v>2.6513999999999993</v>
      </c>
      <c r="H185" s="117">
        <f t="shared" si="48"/>
        <v>2.6384999999999996</v>
      </c>
      <c r="I185" s="116">
        <f>IF($B$7=constants!$C$60,G185,IF($B$8=constants!$C$60,C185,E185))</f>
        <v>1.8043600000000035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25">
      <c r="A186" s="3">
        <f t="shared" si="26"/>
        <v>1</v>
      </c>
      <c r="B186" s="113">
        <f t="shared" si="35"/>
        <v>1.1000000000000008</v>
      </c>
      <c r="C186" s="117">
        <f t="shared" si="49"/>
        <v>1.8604000000000038</v>
      </c>
      <c r="D186" s="10">
        <f t="shared" si="36"/>
        <v>0.65</v>
      </c>
      <c r="E186" s="117">
        <f t="shared" si="50"/>
        <v>2.8068500000000007</v>
      </c>
      <c r="F186" s="117">
        <f t="shared" si="46"/>
        <v>2.8218500000000009</v>
      </c>
      <c r="G186" s="117">
        <f t="shared" si="47"/>
        <v>2.6544999999999992</v>
      </c>
      <c r="H186" s="117">
        <f t="shared" si="48"/>
        <v>2.6384999999999996</v>
      </c>
      <c r="I186" s="116">
        <f>IF($B$7=constants!$C$60,G186,IF($B$8=constants!$C$60,C186,E186))</f>
        <v>1.8604000000000038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25">
      <c r="A187" s="3">
        <f t="shared" si="26"/>
        <v>1</v>
      </c>
      <c r="B187" s="113">
        <f t="shared" si="35"/>
        <v>1.1100000000000008</v>
      </c>
      <c r="C187" s="117">
        <f t="shared" si="49"/>
        <v>1.9164400000000041</v>
      </c>
      <c r="D187" s="10">
        <f t="shared" si="36"/>
        <v>0.65</v>
      </c>
      <c r="E187" s="117">
        <f t="shared" si="50"/>
        <v>2.8137850000000006</v>
      </c>
      <c r="F187" s="117">
        <f t="shared" si="46"/>
        <v>2.8287850000000008</v>
      </c>
      <c r="G187" s="117">
        <f t="shared" si="47"/>
        <v>2.6575999999999995</v>
      </c>
      <c r="H187" s="117">
        <f t="shared" si="48"/>
        <v>2.6384999999999996</v>
      </c>
      <c r="I187" s="116">
        <f>IF($B$7=constants!$C$60,G187,IF($B$8=constants!$C$60,C187,E187))</f>
        <v>1.9164400000000041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25">
      <c r="A188" s="3">
        <f t="shared" si="26"/>
        <v>1</v>
      </c>
      <c r="B188" s="113">
        <f t="shared" si="35"/>
        <v>1.1200000000000008</v>
      </c>
      <c r="C188" s="117">
        <f t="shared" si="49"/>
        <v>1.9724800000000036</v>
      </c>
      <c r="D188" s="10">
        <f t="shared" si="36"/>
        <v>0.65</v>
      </c>
      <c r="E188" s="117">
        <f t="shared" si="50"/>
        <v>2.8207200000000006</v>
      </c>
      <c r="F188" s="117">
        <f t="shared" si="46"/>
        <v>2.8357200000000007</v>
      </c>
      <c r="G188" s="117">
        <f t="shared" si="47"/>
        <v>2.6606999999999994</v>
      </c>
      <c r="H188" s="117">
        <f t="shared" si="48"/>
        <v>2.6384999999999996</v>
      </c>
      <c r="I188" s="116">
        <f>IF($B$7=constants!$C$60,G188,IF($B$8=constants!$C$60,C188,E188))</f>
        <v>1.9724800000000036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25">
      <c r="A189" s="3">
        <f t="shared" si="26"/>
        <v>1</v>
      </c>
      <c r="B189" s="113">
        <f t="shared" si="35"/>
        <v>1.1300000000000008</v>
      </c>
      <c r="C189" s="117">
        <f t="shared" si="49"/>
        <v>2.0285200000000039</v>
      </c>
      <c r="D189" s="10">
        <f t="shared" si="36"/>
        <v>0.65</v>
      </c>
      <c r="E189" s="117">
        <f t="shared" si="50"/>
        <v>2.8276550000000009</v>
      </c>
      <c r="F189" s="117">
        <f t="shared" si="46"/>
        <v>2.842655000000001</v>
      </c>
      <c r="G189" s="117">
        <f t="shared" si="47"/>
        <v>2.6637999999999993</v>
      </c>
      <c r="H189" s="117">
        <f t="shared" si="48"/>
        <v>2.6384999999999996</v>
      </c>
      <c r="I189" s="116">
        <f>IF($B$7=constants!$C$60,G189,IF($B$8=constants!$C$60,C189,E189))</f>
        <v>2.0285200000000039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25">
      <c r="A190" s="3">
        <f t="shared" si="26"/>
        <v>1</v>
      </c>
      <c r="B190" s="113">
        <f t="shared" si="35"/>
        <v>1.1400000000000008</v>
      </c>
      <c r="C190" s="117">
        <f t="shared" si="49"/>
        <v>2.0845600000000042</v>
      </c>
      <c r="D190" s="10">
        <f t="shared" si="36"/>
        <v>0.65</v>
      </c>
      <c r="E190" s="117">
        <f t="shared" si="50"/>
        <v>2.8345900000000008</v>
      </c>
      <c r="F190" s="117">
        <f t="shared" si="46"/>
        <v>2.849590000000001</v>
      </c>
      <c r="G190" s="117">
        <f t="shared" si="47"/>
        <v>2.6668999999999992</v>
      </c>
      <c r="H190" s="117">
        <f t="shared" si="48"/>
        <v>2.6384999999999996</v>
      </c>
      <c r="I190" s="116">
        <f>IF($B$7=constants!$C$60,G190,IF($B$8=constants!$C$60,C190,E190))</f>
        <v>2.0845600000000042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25">
      <c r="A191" s="3">
        <f t="shared" si="26"/>
        <v>1</v>
      </c>
      <c r="B191" s="113">
        <f t="shared" si="35"/>
        <v>1.1500000000000008</v>
      </c>
      <c r="C191" s="117">
        <f t="shared" si="49"/>
        <v>2.1406000000000036</v>
      </c>
      <c r="D191" s="10">
        <f t="shared" si="36"/>
        <v>0.65</v>
      </c>
      <c r="E191" s="117">
        <f t="shared" si="50"/>
        <v>2.8415250000000007</v>
      </c>
      <c r="F191" s="117">
        <f t="shared" si="46"/>
        <v>2.8565250000000009</v>
      </c>
      <c r="G191" s="117">
        <f t="shared" si="47"/>
        <v>2.6699999999999995</v>
      </c>
      <c r="H191" s="117">
        <f t="shared" si="48"/>
        <v>2.6384999999999996</v>
      </c>
      <c r="I191" s="116">
        <f>IF($B$7=constants!$C$60,G191,IF($B$8=constants!$C$60,C191,E191))</f>
        <v>2.1406000000000036</v>
      </c>
      <c r="J191" s="116">
        <f>IF($B$7=constants!$C$60,H191,IF($B$8=constants!$C$60,D191,F191))</f>
        <v>0.65</v>
      </c>
      <c r="K191" s="121">
        <f t="shared" si="37"/>
        <v>1</v>
      </c>
      <c r="L191" s="10">
        <f t="shared" si="44"/>
        <v>2.1406000000000036</v>
      </c>
      <c r="M191" s="126">
        <f t="shared" si="51"/>
        <v>1.55</v>
      </c>
      <c r="N191" s="126">
        <f t="shared" si="29"/>
        <v>1.55</v>
      </c>
      <c r="O191" s="126">
        <f>IF(OR($B$22=constants!$B$60,AND(I191&gt;$B$12,$B$12&lt;&gt;-1)),O190+(N191-O190)*$O$74,O190+(L191-O190)*$O$74)</f>
        <v>1.9265400000000032</v>
      </c>
      <c r="P191" s="126">
        <f t="shared" si="30"/>
        <v>1.9065400000000032</v>
      </c>
      <c r="Q191" s="123">
        <f t="shared" si="45"/>
        <v>1.55</v>
      </c>
      <c r="R191" s="123">
        <f t="shared" si="38"/>
        <v>1.55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25">
      <c r="A192" s="3">
        <f t="shared" si="26"/>
        <v>1</v>
      </c>
      <c r="B192" s="113">
        <f t="shared" si="35"/>
        <v>1.1600000000000008</v>
      </c>
      <c r="C192" s="117">
        <f t="shared" si="49"/>
        <v>2.1966400000000039</v>
      </c>
      <c r="D192" s="10">
        <f t="shared" si="36"/>
        <v>0.65</v>
      </c>
      <c r="E192" s="117">
        <f t="shared" si="50"/>
        <v>2.8484600000000007</v>
      </c>
      <c r="F192" s="117">
        <f t="shared" si="46"/>
        <v>2.8634600000000008</v>
      </c>
      <c r="G192" s="117">
        <f t="shared" si="47"/>
        <v>2.6730999999999994</v>
      </c>
      <c r="H192" s="117">
        <f t="shared" si="48"/>
        <v>2.6384999999999996</v>
      </c>
      <c r="I192" s="116">
        <f>IF($B$7=constants!$C$60,G192,IF($B$8=constants!$C$60,C192,E192))</f>
        <v>2.1966400000000039</v>
      </c>
      <c r="J192" s="116">
        <f>IF($B$7=constants!$C$60,H192,IF($B$8=constants!$C$60,D192,F192))</f>
        <v>0.65</v>
      </c>
      <c r="K192" s="121">
        <f t="shared" si="37"/>
        <v>1</v>
      </c>
      <c r="L192" s="10">
        <f t="shared" si="44"/>
        <v>2.1966400000000039</v>
      </c>
      <c r="M192" s="126">
        <f t="shared" si="51"/>
        <v>1.55</v>
      </c>
      <c r="N192" s="126">
        <f t="shared" si="29"/>
        <v>1.55</v>
      </c>
      <c r="O192" s="126">
        <f>IF(OR($B$22=constants!$B$60,AND(I192&gt;$B$12,$B$12&lt;&gt;-1)),O191+(N192-O191)*$O$74,O191+(L192-O191)*$O$74)</f>
        <v>2.1696300000000037</v>
      </c>
      <c r="P192" s="126">
        <f t="shared" si="30"/>
        <v>2.1496300000000037</v>
      </c>
      <c r="Q192" s="123">
        <f t="shared" si="45"/>
        <v>1.55</v>
      </c>
      <c r="R192" s="123">
        <f t="shared" si="38"/>
        <v>1.55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25">
      <c r="A193" s="3">
        <f t="shared" si="26"/>
        <v>1</v>
      </c>
      <c r="B193" s="113">
        <f t="shared" si="35"/>
        <v>1.1700000000000008</v>
      </c>
      <c r="C193" s="117">
        <f t="shared" si="49"/>
        <v>2.2526800000000042</v>
      </c>
      <c r="D193" s="10">
        <f t="shared" si="36"/>
        <v>0.65</v>
      </c>
      <c r="E193" s="117">
        <f t="shared" si="50"/>
        <v>2.8553950000000006</v>
      </c>
      <c r="F193" s="117">
        <f t="shared" si="46"/>
        <v>2.8703950000000007</v>
      </c>
      <c r="G193" s="117">
        <f t="shared" si="47"/>
        <v>2.6761999999999992</v>
      </c>
      <c r="H193" s="117">
        <f t="shared" si="48"/>
        <v>2.6384999999999996</v>
      </c>
      <c r="I193" s="116">
        <f>IF($B$7=constants!$C$60,G193,IF($B$8=constants!$C$60,C193,E193))</f>
        <v>2.2526800000000042</v>
      </c>
      <c r="J193" s="116">
        <f>IF($B$7=constants!$C$60,H193,IF($B$8=constants!$C$60,D193,F193))</f>
        <v>0.65</v>
      </c>
      <c r="K193" s="121">
        <f t="shared" si="37"/>
        <v>1</v>
      </c>
      <c r="L193" s="10">
        <f t="shared" si="44"/>
        <v>2.2526800000000042</v>
      </c>
      <c r="M193" s="126">
        <f t="shared" si="51"/>
        <v>1.55</v>
      </c>
      <c r="N193" s="126">
        <f>IF(M193&gt;I193,L193,M193)</f>
        <v>1.55</v>
      </c>
      <c r="O193" s="126">
        <f>IF(OR($B$22=constants!$B$60,AND(I193&gt;$B$12,$B$12&lt;&gt;-1)),O192+(N193-O192)*$O$74,O192+(L193-O192)*$O$74)</f>
        <v>2.2443750000000042</v>
      </c>
      <c r="P193" s="126">
        <f t="shared" si="30"/>
        <v>2.2243750000000042</v>
      </c>
      <c r="Q193" s="123">
        <f t="shared" si="45"/>
        <v>1.55</v>
      </c>
      <c r="R193" s="123">
        <f t="shared" si="38"/>
        <v>1.55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25">
      <c r="A194" s="3">
        <f t="shared" si="26"/>
        <v>1</v>
      </c>
      <c r="B194" s="113">
        <f t="shared" si="35"/>
        <v>1.1800000000000008</v>
      </c>
      <c r="C194" s="117">
        <f t="shared" si="49"/>
        <v>2.3087200000000045</v>
      </c>
      <c r="D194" s="10">
        <f t="shared" si="36"/>
        <v>0.65</v>
      </c>
      <c r="E194" s="117">
        <f t="shared" si="50"/>
        <v>2.8623300000000009</v>
      </c>
      <c r="F194" s="117">
        <f t="shared" si="46"/>
        <v>2.8773300000000011</v>
      </c>
      <c r="G194" s="117">
        <f t="shared" si="47"/>
        <v>2.6792999999999996</v>
      </c>
      <c r="H194" s="117">
        <f t="shared" si="48"/>
        <v>2.6384999999999996</v>
      </c>
      <c r="I194" s="116">
        <f>IF($B$7=constants!$C$60,G194,IF($B$8=constants!$C$60,C194,E194))</f>
        <v>2.3087200000000045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2.3087200000000045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2.3022855000000044</v>
      </c>
      <c r="P194" s="126">
        <f t="shared" si="30"/>
        <v>2.2822855000000044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25">
      <c r="A195" s="3">
        <f t="shared" si="26"/>
        <v>1</v>
      </c>
      <c r="B195" s="113">
        <f t="shared" si="35"/>
        <v>1.1900000000000008</v>
      </c>
      <c r="C195" s="117">
        <f t="shared" si="49"/>
        <v>2.364760000000004</v>
      </c>
      <c r="D195" s="10">
        <f t="shared" si="36"/>
        <v>0.65</v>
      </c>
      <c r="E195" s="117">
        <f t="shared" si="50"/>
        <v>2.8692650000000008</v>
      </c>
      <c r="F195" s="117">
        <f t="shared" si="46"/>
        <v>2.884265000000001</v>
      </c>
      <c r="G195" s="117">
        <f t="shared" si="47"/>
        <v>2.6823999999999995</v>
      </c>
      <c r="H195" s="117">
        <f t="shared" si="48"/>
        <v>2.6384999999999996</v>
      </c>
      <c r="I195" s="116">
        <f>IF($B$7=constants!$C$60,G195,IF($B$8=constants!$C$60,C195,E195))</f>
        <v>2.364760000000004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2.364760000000004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2.3585125500000039</v>
      </c>
      <c r="P195" s="126">
        <f t="shared" si="30"/>
        <v>2.3385125500000039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25">
      <c r="A196" s="3">
        <f t="shared" si="26"/>
        <v>1</v>
      </c>
      <c r="B196" s="113">
        <f t="shared" si="35"/>
        <v>1.2000000000000008</v>
      </c>
      <c r="C196" s="117">
        <f t="shared" si="49"/>
        <v>2.4208000000000043</v>
      </c>
      <c r="D196" s="10">
        <f t="shared" si="36"/>
        <v>0.65</v>
      </c>
      <c r="E196" s="117">
        <f t="shared" si="50"/>
        <v>2.8762000000000008</v>
      </c>
      <c r="F196" s="117">
        <f t="shared" si="46"/>
        <v>2.8912000000000009</v>
      </c>
      <c r="G196" s="117">
        <f t="shared" si="47"/>
        <v>2.6854999999999993</v>
      </c>
      <c r="H196" s="117">
        <f t="shared" si="48"/>
        <v>2.6384999999999996</v>
      </c>
      <c r="I196" s="116">
        <f>IF($B$7=constants!$C$60,G196,IF($B$8=constants!$C$60,C196,E196))</f>
        <v>2.4208000000000043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2.4208000000000043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2.4145712550000042</v>
      </c>
      <c r="P196" s="126">
        <f t="shared" si="30"/>
        <v>2.3945712550000042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25">
      <c r="A197" s="3">
        <f t="shared" si="26"/>
        <v>1</v>
      </c>
      <c r="B197" s="113">
        <f t="shared" si="35"/>
        <v>1.2100000000000009</v>
      </c>
      <c r="C197" s="117">
        <f t="shared" si="49"/>
        <v>2.4768400000000046</v>
      </c>
      <c r="D197" s="10">
        <f t="shared" si="36"/>
        <v>0.65</v>
      </c>
      <c r="E197" s="117">
        <f t="shared" si="50"/>
        <v>2.8831350000000007</v>
      </c>
      <c r="F197" s="117">
        <f t="shared" si="46"/>
        <v>2.8981350000000008</v>
      </c>
      <c r="G197" s="117">
        <f t="shared" si="47"/>
        <v>2.6885999999999992</v>
      </c>
      <c r="H197" s="117">
        <f t="shared" si="48"/>
        <v>2.6384999999999996</v>
      </c>
      <c r="I197" s="116">
        <f>IF($B$7=constants!$C$60,G197,IF($B$8=constants!$C$60,C197,E197))</f>
        <v>2.4768400000000046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2.4768400000000046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2.4706131255000043</v>
      </c>
      <c r="P197" s="126">
        <f t="shared" si="30"/>
        <v>2.4506131255000043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25">
      <c r="A198" s="3">
        <f t="shared" si="26"/>
        <v>1</v>
      </c>
      <c r="B198" s="113">
        <f t="shared" si="35"/>
        <v>1.2200000000000009</v>
      </c>
      <c r="C198" s="117">
        <f t="shared" si="49"/>
        <v>2.532880000000004</v>
      </c>
      <c r="D198" s="10">
        <f t="shared" si="36"/>
        <v>0.65</v>
      </c>
      <c r="E198" s="117">
        <f t="shared" si="50"/>
        <v>2.8900700000000006</v>
      </c>
      <c r="F198" s="117">
        <f t="shared" si="46"/>
        <v>2.9050700000000007</v>
      </c>
      <c r="G198" s="117">
        <f t="shared" si="47"/>
        <v>2.6916999999999995</v>
      </c>
      <c r="H198" s="117">
        <f t="shared" si="48"/>
        <v>2.6384999999999996</v>
      </c>
      <c r="I198" s="116">
        <f>IF($B$7=constants!$C$60,G198,IF($B$8=constants!$C$60,C198,E198))</f>
        <v>2.532880000000004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2.532880000000004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2.5266533125500041</v>
      </c>
      <c r="P198" s="126">
        <f t="shared" si="30"/>
        <v>2.5066533125500041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25">
      <c r="A199" s="3">
        <f t="shared" si="26"/>
        <v>1</v>
      </c>
      <c r="B199" s="113">
        <f t="shared" si="35"/>
        <v>1.2300000000000009</v>
      </c>
      <c r="C199" s="117">
        <f t="shared" si="49"/>
        <v>2.5889200000000043</v>
      </c>
      <c r="D199" s="10">
        <f t="shared" si="36"/>
        <v>0.65</v>
      </c>
      <c r="E199" s="117">
        <f t="shared" si="50"/>
        <v>2.8970050000000009</v>
      </c>
      <c r="F199" s="117">
        <f t="shared" si="46"/>
        <v>2.9120050000000011</v>
      </c>
      <c r="G199" s="117">
        <f t="shared" si="47"/>
        <v>2.6947999999999994</v>
      </c>
      <c r="H199" s="117">
        <f t="shared" si="48"/>
        <v>2.6384999999999996</v>
      </c>
      <c r="I199" s="116">
        <f>IF($B$7=constants!$C$60,G199,IF($B$8=constants!$C$60,C199,E199))</f>
        <v>2.5889200000000043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2.5889200000000043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2.5826933312550042</v>
      </c>
      <c r="P199" s="126">
        <f t="shared" si="30"/>
        <v>2.5626933312550042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25">
      <c r="A200" s="3">
        <f t="shared" si="26"/>
        <v>1</v>
      </c>
      <c r="B200" s="113">
        <f t="shared" si="35"/>
        <v>1.2400000000000009</v>
      </c>
      <c r="C200" s="117">
        <f t="shared" si="49"/>
        <v>2.6449600000000046</v>
      </c>
      <c r="D200" s="10">
        <f t="shared" si="36"/>
        <v>0.65</v>
      </c>
      <c r="E200" s="117">
        <f t="shared" si="50"/>
        <v>2.9039400000000009</v>
      </c>
      <c r="F200" s="117">
        <f t="shared" si="46"/>
        <v>2.918940000000001</v>
      </c>
      <c r="G200" s="117">
        <f t="shared" si="47"/>
        <v>2.6978999999999993</v>
      </c>
      <c r="H200" s="117">
        <f t="shared" si="48"/>
        <v>2.6384999999999996</v>
      </c>
      <c r="I200" s="116">
        <f>IF($B$7=constants!$C$60,G200,IF($B$8=constants!$C$60,C200,E200))</f>
        <v>2.6449600000000046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2.6449600000000046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2.6387333331255047</v>
      </c>
      <c r="P200" s="126">
        <f t="shared" si="30"/>
        <v>2.6187333331255047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25">
      <c r="A201" s="3">
        <f t="shared" si="26"/>
        <v>1</v>
      </c>
      <c r="B201" s="113">
        <f t="shared" si="35"/>
        <v>1.2500000000000009</v>
      </c>
      <c r="C201" s="117">
        <f>$D$15*B201+$D$16</f>
        <v>2.7009999999999974</v>
      </c>
      <c r="D201" s="10">
        <f t="shared" si="36"/>
        <v>0.65</v>
      </c>
      <c r="E201" s="117">
        <f t="shared" si="50"/>
        <v>2.9108750000000008</v>
      </c>
      <c r="F201" s="117">
        <f t="shared" si="46"/>
        <v>2.9258750000000009</v>
      </c>
      <c r="G201" s="117">
        <f>B201*$H$46+$H$47</f>
        <v>2.7009999999999974</v>
      </c>
      <c r="H201" s="117">
        <f t="shared" si="48"/>
        <v>2.6384999999999996</v>
      </c>
      <c r="I201" s="116">
        <f>IF($B$7=constants!$C$60,G201,IF($B$8=constants!$C$60,C201,E201))</f>
        <v>2.7009999999999974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2.7009999999999974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2.6947733333125483</v>
      </c>
      <c r="P201" s="126">
        <f t="shared" si="30"/>
        <v>2.6747733333125483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25">
      <c r="A202" s="3">
        <f t="shared" si="26"/>
        <v>1</v>
      </c>
      <c r="B202" s="113">
        <f t="shared" si="35"/>
        <v>1.2600000000000009</v>
      </c>
      <c r="C202" s="117">
        <f>$D$15*$B202+$D$16</f>
        <v>2.6776399999999976</v>
      </c>
      <c r="D202" s="117">
        <f>$G$15*$B202+$G$16</f>
        <v>0.67934000000000294</v>
      </c>
      <c r="E202" s="117">
        <f t="shared" si="50"/>
        <v>2.9178100000000007</v>
      </c>
      <c r="F202" s="117">
        <f t="shared" si="46"/>
        <v>2.9328100000000008</v>
      </c>
      <c r="G202" s="117">
        <f t="shared" ref="G202:G225" si="53">B202*$H$46+$H$47</f>
        <v>2.6776399999999976</v>
      </c>
      <c r="H202" s="117">
        <f t="shared" si="48"/>
        <v>2.6384999999999996</v>
      </c>
      <c r="I202" s="116">
        <f>IF($B$7=constants!$C$60,G202,IF($B$8=constants!$C$60,C202,E202))</f>
        <v>2.6776399999999976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2.6776399999999976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2.6793533333312527</v>
      </c>
      <c r="P202" s="126">
        <f t="shared" si="30"/>
        <v>2.6593533333312527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25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2.6542799999999978</v>
      </c>
      <c r="D203" s="117">
        <f t="shared" ref="D203:D226" si="55">$G$15*$B203+$G$16</f>
        <v>0.70868000000000331</v>
      </c>
      <c r="E203" s="117">
        <f t="shared" si="50"/>
        <v>2.9247450000000006</v>
      </c>
      <c r="F203" s="117">
        <f t="shared" si="46"/>
        <v>2.9397450000000007</v>
      </c>
      <c r="G203" s="117">
        <f t="shared" si="53"/>
        <v>2.6542799999999978</v>
      </c>
      <c r="H203" s="117">
        <f t="shared" si="48"/>
        <v>2.6384999999999996</v>
      </c>
      <c r="I203" s="116">
        <f>IF($B$7=constants!$C$60,G203,IF($B$8=constants!$C$60,C203,E203))</f>
        <v>2.6542799999999978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2.6542799999999978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2.6567873333331233</v>
      </c>
      <c r="P203" s="126">
        <f t="shared" si="30"/>
        <v>2.6367873333331233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25">
      <c r="A204" s="3">
        <f t="shared" si="26"/>
        <v>1</v>
      </c>
      <c r="B204" s="113">
        <f t="shared" si="35"/>
        <v>1.2800000000000009</v>
      </c>
      <c r="C204" s="117">
        <f t="shared" si="54"/>
        <v>2.6309199999999975</v>
      </c>
      <c r="D204" s="117">
        <f t="shared" si="55"/>
        <v>0.73802000000000323</v>
      </c>
      <c r="E204" s="117">
        <f t="shared" si="50"/>
        <v>2.931680000000001</v>
      </c>
      <c r="F204" s="117">
        <f t="shared" si="46"/>
        <v>2.9466800000000011</v>
      </c>
      <c r="G204" s="117">
        <f t="shared" si="53"/>
        <v>2.6309199999999975</v>
      </c>
      <c r="H204" s="117">
        <f t="shared" si="48"/>
        <v>2.6384999999999996</v>
      </c>
      <c r="I204" s="116">
        <f>IF($B$7=constants!$C$60,G204,IF($B$8=constants!$C$60,C204,E204))</f>
        <v>2.6309199999999975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2.6309199999999975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2.6335067333333102</v>
      </c>
      <c r="P204" s="126">
        <f t="shared" si="30"/>
        <v>2.6135067333333102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25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2.6075599999999977</v>
      </c>
      <c r="D205" s="117">
        <f t="shared" si="55"/>
        <v>0.76736000000000315</v>
      </c>
      <c r="E205" s="117">
        <f t="shared" si="50"/>
        <v>2.9386150000000009</v>
      </c>
      <c r="F205" s="117">
        <f t="shared" si="46"/>
        <v>2.953615000000001</v>
      </c>
      <c r="G205" s="117">
        <f t="shared" si="53"/>
        <v>2.6075599999999977</v>
      </c>
      <c r="H205" s="117">
        <f t="shared" si="48"/>
        <v>2.6384999999999996</v>
      </c>
      <c r="I205" s="116">
        <f>IF($B$7=constants!$C$60,G205,IF($B$8=constants!$C$60,C205,E205))</f>
        <v>2.6075599999999977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2.6075599999999977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2.6101546733333287</v>
      </c>
      <c r="P205" s="126">
        <f t="shared" ref="P205:P268" si="57">IF(O205=0,0,O205-$P$72)</f>
        <v>2.5901546733333287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25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2.5841999999999974</v>
      </c>
      <c r="D206" s="117">
        <f t="shared" si="55"/>
        <v>0.79670000000000307</v>
      </c>
      <c r="E206" s="117">
        <f t="shared" si="50"/>
        <v>2.9455500000000008</v>
      </c>
      <c r="F206" s="117">
        <f t="shared" si="46"/>
        <v>2.9605500000000009</v>
      </c>
      <c r="G206" s="117">
        <f t="shared" si="53"/>
        <v>2.5841999999999974</v>
      </c>
      <c r="H206" s="117">
        <f t="shared" si="48"/>
        <v>2.6384999999999996</v>
      </c>
      <c r="I206" s="116">
        <f>IF($B$7=constants!$C$60,G206,IF($B$8=constants!$C$60,C206,E206))</f>
        <v>2.5841999999999974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2.5841999999999974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2.5867954673333307</v>
      </c>
      <c r="P206" s="126">
        <f t="shared" si="57"/>
        <v>2.5667954673333306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25">
      <c r="A207" s="3">
        <f t="shared" si="56"/>
        <v>1</v>
      </c>
      <c r="B207" s="113">
        <f t="shared" si="62"/>
        <v>1.3100000000000009</v>
      </c>
      <c r="C207" s="117">
        <f t="shared" si="54"/>
        <v>2.5608399999999976</v>
      </c>
      <c r="D207" s="117">
        <f t="shared" si="55"/>
        <v>0.82604000000000299</v>
      </c>
      <c r="E207" s="117">
        <f t="shared" si="50"/>
        <v>2.9524850000000007</v>
      </c>
      <c r="F207" s="117">
        <f t="shared" si="46"/>
        <v>2.9674850000000008</v>
      </c>
      <c r="G207" s="117">
        <f t="shared" si="53"/>
        <v>2.5608399999999976</v>
      </c>
      <c r="H207" s="117">
        <f t="shared" si="48"/>
        <v>2.6384999999999996</v>
      </c>
      <c r="I207" s="116">
        <f>IF($B$7=constants!$C$60,G207,IF($B$8=constants!$C$60,C207,E207))</f>
        <v>2.5608399999999976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2.5608399999999976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2.5634355467333307</v>
      </c>
      <c r="P207" s="126">
        <f t="shared" si="57"/>
        <v>2.5434355467333307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25">
      <c r="A208" s="3">
        <f t="shared" si="56"/>
        <v>1</v>
      </c>
      <c r="B208" s="113">
        <f t="shared" si="62"/>
        <v>1.320000000000001</v>
      </c>
      <c r="C208" s="117">
        <f t="shared" si="54"/>
        <v>2.5374799999999973</v>
      </c>
      <c r="D208" s="117">
        <f t="shared" si="55"/>
        <v>0.85538000000000336</v>
      </c>
      <c r="E208" s="117">
        <f t="shared" si="50"/>
        <v>2.9594200000000006</v>
      </c>
      <c r="F208" s="117">
        <f t="shared" si="46"/>
        <v>2.9744200000000007</v>
      </c>
      <c r="G208" s="117">
        <f t="shared" si="53"/>
        <v>2.5374799999999973</v>
      </c>
      <c r="H208" s="117">
        <f t="shared" si="48"/>
        <v>2.6384999999999996</v>
      </c>
      <c r="I208" s="116">
        <f>IF($B$7=constants!$C$60,G208,IF($B$8=constants!$C$60,C208,E208))</f>
        <v>2.5374799999999973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2.5374799999999973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2.5400755546733307</v>
      </c>
      <c r="P208" s="126">
        <f t="shared" si="57"/>
        <v>2.5200755546733307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25">
      <c r="A209" s="3">
        <f t="shared" si="56"/>
        <v>1</v>
      </c>
      <c r="B209" s="113">
        <f t="shared" si="62"/>
        <v>1.330000000000001</v>
      </c>
      <c r="C209" s="117">
        <f t="shared" si="54"/>
        <v>2.5141199999999975</v>
      </c>
      <c r="D209" s="117">
        <f t="shared" si="55"/>
        <v>0.88472000000000328</v>
      </c>
      <c r="E209" s="117">
        <f t="shared" si="50"/>
        <v>2.966355000000001</v>
      </c>
      <c r="F209" s="117">
        <f t="shared" ref="F209:F240" si="68">E209+$F$74</f>
        <v>2.9813550000000011</v>
      </c>
      <c r="G209" s="117">
        <f t="shared" si="53"/>
        <v>2.5141199999999975</v>
      </c>
      <c r="H209" s="117">
        <f t="shared" si="48"/>
        <v>2.6384999999999996</v>
      </c>
      <c r="I209" s="116">
        <f>IF($B$7=constants!$C$60,G209,IF($B$8=constants!$C$60,C209,E209))</f>
        <v>2.5141199999999975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2.5141199999999975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2.5167155554673308</v>
      </c>
      <c r="P209" s="126">
        <f t="shared" si="57"/>
        <v>2.4967155554673308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25">
      <c r="A210" s="3">
        <f t="shared" si="56"/>
        <v>1</v>
      </c>
      <c r="B210" s="113">
        <f t="shared" si="62"/>
        <v>1.340000000000001</v>
      </c>
      <c r="C210" s="117">
        <f t="shared" si="54"/>
        <v>2.4907599999999976</v>
      </c>
      <c r="D210" s="117">
        <f t="shared" si="55"/>
        <v>0.9140600000000032</v>
      </c>
      <c r="E210" s="117">
        <f t="shared" si="50"/>
        <v>2.9732900000000009</v>
      </c>
      <c r="F210" s="117">
        <f t="shared" si="68"/>
        <v>2.988290000000001</v>
      </c>
      <c r="G210" s="117">
        <f t="shared" si="53"/>
        <v>2.4907599999999976</v>
      </c>
      <c r="H210" s="117">
        <f t="shared" si="48"/>
        <v>2.6384999999999996</v>
      </c>
      <c r="I210" s="116">
        <f>IF($B$7=constants!$C$60,G210,IF($B$8=constants!$C$60,C210,E210))</f>
        <v>2.4907599999999976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2.4907599999999976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2.4933555555467311</v>
      </c>
      <c r="P210" s="126">
        <f t="shared" si="57"/>
        <v>2.473355555546731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25">
      <c r="A211" s="3">
        <f t="shared" si="56"/>
        <v>1</v>
      </c>
      <c r="B211" s="113">
        <f t="shared" si="62"/>
        <v>1.350000000000001</v>
      </c>
      <c r="C211" s="117">
        <f t="shared" si="54"/>
        <v>2.4673999999999974</v>
      </c>
      <c r="D211" s="117">
        <f t="shared" si="55"/>
        <v>0.94340000000000312</v>
      </c>
      <c r="E211" s="117">
        <f t="shared" si="50"/>
        <v>2.9802250000000008</v>
      </c>
      <c r="F211" s="117">
        <f t="shared" si="68"/>
        <v>2.9952250000000009</v>
      </c>
      <c r="G211" s="117">
        <f t="shared" si="53"/>
        <v>2.4673999999999974</v>
      </c>
      <c r="H211" s="117">
        <f t="shared" si="48"/>
        <v>2.6384999999999996</v>
      </c>
      <c r="I211" s="116">
        <f>IF($B$7=constants!$C$60,G211,IF($B$8=constants!$C$60,C211,E211))</f>
        <v>2.4673999999999974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2.4673999999999974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2.4699955555546707</v>
      </c>
      <c r="P211" s="126">
        <f t="shared" si="57"/>
        <v>2.4499955555546706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25">
      <c r="A212" s="3">
        <f t="shared" si="56"/>
        <v>1</v>
      </c>
      <c r="B212" s="113">
        <f t="shared" si="62"/>
        <v>1.360000000000001</v>
      </c>
      <c r="C212" s="117">
        <f t="shared" si="54"/>
        <v>2.4440399999999975</v>
      </c>
      <c r="D212" s="117">
        <f t="shared" si="55"/>
        <v>0.97274000000000349</v>
      </c>
      <c r="E212" s="117">
        <f t="shared" si="50"/>
        <v>2.9871600000000011</v>
      </c>
      <c r="F212" s="117">
        <f t="shared" si="68"/>
        <v>3.0021600000000013</v>
      </c>
      <c r="G212" s="117">
        <f t="shared" si="53"/>
        <v>2.4440399999999975</v>
      </c>
      <c r="H212" s="117">
        <f t="shared" si="48"/>
        <v>2.6384999999999996</v>
      </c>
      <c r="I212" s="116">
        <f>IF($B$7=constants!$C$60,G212,IF($B$8=constants!$C$60,C212,E212))</f>
        <v>2.4440399999999975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2.4440399999999975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2.4466355555554649</v>
      </c>
      <c r="P212" s="126">
        <f t="shared" si="57"/>
        <v>2.4266355555554648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25">
      <c r="A213" s="3">
        <f t="shared" si="56"/>
        <v>1</v>
      </c>
      <c r="B213" s="113">
        <f t="shared" si="62"/>
        <v>1.370000000000001</v>
      </c>
      <c r="C213" s="117">
        <f t="shared" si="54"/>
        <v>2.4206799999999973</v>
      </c>
      <c r="D213" s="117">
        <f t="shared" si="55"/>
        <v>1.002080000000003</v>
      </c>
      <c r="E213" s="117">
        <f t="shared" si="50"/>
        <v>2.9940950000000006</v>
      </c>
      <c r="F213" s="117">
        <f t="shared" si="68"/>
        <v>3.0090950000000007</v>
      </c>
      <c r="G213" s="117">
        <f t="shared" si="53"/>
        <v>2.4206799999999973</v>
      </c>
      <c r="H213" s="117">
        <f t="shared" si="48"/>
        <v>2.6384999999999996</v>
      </c>
      <c r="I213" s="116">
        <f>IF($B$7=constants!$C$60,G213,IF($B$8=constants!$C$60,C213,E213))</f>
        <v>2.4206799999999973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2.4206799999999973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2.4232755555555441</v>
      </c>
      <c r="P213" s="126">
        <f t="shared" si="57"/>
        <v>2.4032755555555441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25">
      <c r="A214" s="3">
        <f t="shared" si="56"/>
        <v>1</v>
      </c>
      <c r="B214" s="113">
        <f t="shared" si="62"/>
        <v>1.380000000000001</v>
      </c>
      <c r="C214" s="117">
        <f t="shared" si="54"/>
        <v>2.3973199999999975</v>
      </c>
      <c r="D214" s="117">
        <f t="shared" si="55"/>
        <v>1.0314200000000033</v>
      </c>
      <c r="E214" s="117">
        <f t="shared" si="50"/>
        <v>3.001030000000001</v>
      </c>
      <c r="F214" s="117">
        <f t="shared" si="68"/>
        <v>3.0160300000000011</v>
      </c>
      <c r="G214" s="117">
        <f t="shared" si="53"/>
        <v>2.3973199999999975</v>
      </c>
      <c r="H214" s="117">
        <f t="shared" si="48"/>
        <v>2.6384999999999996</v>
      </c>
      <c r="I214" s="116">
        <f>IF($B$7=constants!$C$60,G214,IF($B$8=constants!$C$60,C214,E214))</f>
        <v>2.3973199999999975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2.3973199999999975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2.3999155555555522</v>
      </c>
      <c r="P214" s="126">
        <f t="shared" si="57"/>
        <v>2.3799155555555522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25">
      <c r="A215" s="3">
        <f t="shared" si="56"/>
        <v>1</v>
      </c>
      <c r="B215" s="113">
        <f t="shared" si="62"/>
        <v>1.390000000000001</v>
      </c>
      <c r="C215" s="117">
        <f t="shared" si="54"/>
        <v>2.3739599999999976</v>
      </c>
      <c r="D215" s="117">
        <f t="shared" si="55"/>
        <v>1.0607600000000037</v>
      </c>
      <c r="E215" s="117">
        <f t="shared" si="50"/>
        <v>3.0079650000000009</v>
      </c>
      <c r="F215" s="117">
        <f t="shared" si="68"/>
        <v>3.022965000000001</v>
      </c>
      <c r="G215" s="117">
        <f t="shared" si="53"/>
        <v>2.3739599999999976</v>
      </c>
      <c r="H215" s="117">
        <f t="shared" si="48"/>
        <v>2.6384999999999996</v>
      </c>
      <c r="I215" s="116">
        <f>IF($B$7=constants!$C$60,G215,IF($B$8=constants!$C$60,C215,E215))</f>
        <v>2.3739599999999976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2.3739599999999976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2.3765555555555533</v>
      </c>
      <c r="P215" s="126">
        <f t="shared" si="57"/>
        <v>2.3565555555555533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25">
      <c r="A216" s="3">
        <f t="shared" si="56"/>
        <v>1</v>
      </c>
      <c r="B216" s="113">
        <f t="shared" si="62"/>
        <v>1.400000000000001</v>
      </c>
      <c r="C216" s="117">
        <f t="shared" si="54"/>
        <v>2.3505999999999974</v>
      </c>
      <c r="D216" s="117">
        <f t="shared" si="55"/>
        <v>1.0901000000000032</v>
      </c>
      <c r="E216" s="117">
        <f t="shared" si="50"/>
        <v>3.0149000000000008</v>
      </c>
      <c r="F216" s="117">
        <f t="shared" si="68"/>
        <v>3.0299000000000009</v>
      </c>
      <c r="G216" s="117">
        <f t="shared" si="53"/>
        <v>2.3505999999999974</v>
      </c>
      <c r="H216" s="117">
        <f t="shared" si="48"/>
        <v>2.6384999999999996</v>
      </c>
      <c r="I216" s="116">
        <f>IF($B$7=constants!$C$60,G216,IF($B$8=constants!$C$60,C216,E216))</f>
        <v>2.3505999999999974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2.3505999999999974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2.353195555555553</v>
      </c>
      <c r="P216" s="126">
        <f t="shared" si="57"/>
        <v>2.333195555555553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25">
      <c r="A217" s="3">
        <f t="shared" si="56"/>
        <v>1</v>
      </c>
      <c r="B217" s="113">
        <f t="shared" si="62"/>
        <v>1.410000000000001</v>
      </c>
      <c r="C217" s="117">
        <f t="shared" si="54"/>
        <v>2.3272399999999975</v>
      </c>
      <c r="D217" s="117">
        <f t="shared" si="55"/>
        <v>1.1194400000000035</v>
      </c>
      <c r="E217" s="117">
        <f t="shared" si="50"/>
        <v>3.0218350000000012</v>
      </c>
      <c r="F217" s="117">
        <f t="shared" si="68"/>
        <v>3.0368350000000013</v>
      </c>
      <c r="G217" s="117">
        <f t="shared" si="53"/>
        <v>2.3272399999999975</v>
      </c>
      <c r="H217" s="117">
        <f t="shared" si="48"/>
        <v>2.6384999999999996</v>
      </c>
      <c r="I217" s="116">
        <f>IF($B$7=constants!$C$60,G217,IF($B$8=constants!$C$60,C217,E217))</f>
        <v>2.3272399999999975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2.3272399999999975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2.3298355555555532</v>
      </c>
      <c r="P217" s="126">
        <f t="shared" si="57"/>
        <v>2.3098355555555532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25">
      <c r="A218" s="3">
        <f t="shared" si="56"/>
        <v>1</v>
      </c>
      <c r="B218" s="113">
        <f t="shared" si="62"/>
        <v>1.420000000000001</v>
      </c>
      <c r="C218" s="117">
        <f t="shared" si="54"/>
        <v>2.3038799999999973</v>
      </c>
      <c r="D218" s="117">
        <f t="shared" si="55"/>
        <v>1.1487800000000039</v>
      </c>
      <c r="E218" s="117">
        <f t="shared" si="50"/>
        <v>3.0287700000000006</v>
      </c>
      <c r="F218" s="117">
        <f t="shared" si="68"/>
        <v>3.0437700000000008</v>
      </c>
      <c r="G218" s="117">
        <f t="shared" si="53"/>
        <v>2.3038799999999973</v>
      </c>
      <c r="H218" s="117">
        <f t="shared" si="48"/>
        <v>2.6384999999999996</v>
      </c>
      <c r="I218" s="116">
        <f>IF($B$7=constants!$C$60,G218,IF($B$8=constants!$C$60,C218,E218))</f>
        <v>2.3038799999999973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2.3038799999999973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2.3064755555555529</v>
      </c>
      <c r="P218" s="126">
        <f t="shared" si="57"/>
        <v>2.2864755555555529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25">
      <c r="A219" s="3">
        <f t="shared" si="56"/>
        <v>1</v>
      </c>
      <c r="B219" s="113">
        <f t="shared" si="62"/>
        <v>1.430000000000001</v>
      </c>
      <c r="C219" s="117">
        <f t="shared" si="54"/>
        <v>2.2805199999999974</v>
      </c>
      <c r="D219" s="117">
        <f t="shared" si="55"/>
        <v>1.1781200000000034</v>
      </c>
      <c r="E219" s="117">
        <f t="shared" si="50"/>
        <v>3.035705000000001</v>
      </c>
      <c r="F219" s="117">
        <f t="shared" si="68"/>
        <v>3.0507050000000011</v>
      </c>
      <c r="G219" s="117">
        <f t="shared" si="53"/>
        <v>2.2805199999999974</v>
      </c>
      <c r="H219" s="117">
        <f t="shared" si="48"/>
        <v>2.6384999999999996</v>
      </c>
      <c r="I219" s="116">
        <f>IF($B$7=constants!$C$60,G219,IF($B$8=constants!$C$60,C219,E219))</f>
        <v>2.2805199999999974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2.2805199999999974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2.2831155555555531</v>
      </c>
      <c r="P219" s="126">
        <f t="shared" si="57"/>
        <v>2.2631155555555531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25">
      <c r="A220" s="3">
        <f t="shared" si="56"/>
        <v>1</v>
      </c>
      <c r="B220" s="113">
        <f t="shared" si="62"/>
        <v>1.4400000000000011</v>
      </c>
      <c r="C220" s="117">
        <f t="shared" si="54"/>
        <v>2.2571599999999976</v>
      </c>
      <c r="D220" s="117">
        <f t="shared" si="55"/>
        <v>1.2074600000000038</v>
      </c>
      <c r="E220" s="117">
        <f t="shared" si="50"/>
        <v>3.0426400000000009</v>
      </c>
      <c r="F220" s="117">
        <f t="shared" si="68"/>
        <v>3.057640000000001</v>
      </c>
      <c r="G220" s="117">
        <f t="shared" si="53"/>
        <v>2.2571599999999976</v>
      </c>
      <c r="H220" s="117">
        <f t="shared" si="48"/>
        <v>2.6384999999999996</v>
      </c>
      <c r="I220" s="116">
        <f>IF($B$7=constants!$C$60,G220,IF($B$8=constants!$C$60,C220,E220))</f>
        <v>2.2571599999999976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2.2571599999999976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2.2597555555555533</v>
      </c>
      <c r="P220" s="126">
        <f t="shared" si="57"/>
        <v>2.2397555555555533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25">
      <c r="A221" s="3">
        <f t="shared" si="56"/>
        <v>1</v>
      </c>
      <c r="B221" s="113">
        <f t="shared" si="62"/>
        <v>1.4500000000000011</v>
      </c>
      <c r="C221" s="117">
        <f t="shared" si="54"/>
        <v>2.2337999999999973</v>
      </c>
      <c r="D221" s="117">
        <f t="shared" si="55"/>
        <v>1.2368000000000032</v>
      </c>
      <c r="E221" s="117">
        <f t="shared" si="50"/>
        <v>3.0495750000000008</v>
      </c>
      <c r="F221" s="117">
        <f t="shared" si="68"/>
        <v>3.0645750000000009</v>
      </c>
      <c r="G221" s="117">
        <f t="shared" si="53"/>
        <v>2.2337999999999973</v>
      </c>
      <c r="H221" s="117">
        <f t="shared" si="48"/>
        <v>2.6384999999999996</v>
      </c>
      <c r="I221" s="116">
        <f>IF($B$7=constants!$C$60,G221,IF($B$8=constants!$C$60,C221,E221))</f>
        <v>2.2337999999999973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2.2337999999999973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2.236395555555553</v>
      </c>
      <c r="P221" s="126">
        <f t="shared" si="57"/>
        <v>2.216395555555553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25">
      <c r="A222" s="3">
        <f t="shared" si="56"/>
        <v>1</v>
      </c>
      <c r="B222" s="113">
        <f t="shared" si="62"/>
        <v>1.4600000000000011</v>
      </c>
      <c r="C222" s="117">
        <f t="shared" si="54"/>
        <v>2.2104399999999975</v>
      </c>
      <c r="D222" s="117">
        <f t="shared" si="55"/>
        <v>1.2661400000000036</v>
      </c>
      <c r="E222" s="117">
        <f t="shared" si="50"/>
        <v>3.0565100000000012</v>
      </c>
      <c r="F222" s="117">
        <f t="shared" si="68"/>
        <v>3.0715100000000013</v>
      </c>
      <c r="G222" s="117">
        <f t="shared" si="53"/>
        <v>2.2104399999999975</v>
      </c>
      <c r="H222" s="117">
        <f t="shared" si="48"/>
        <v>2.6384999999999996</v>
      </c>
      <c r="I222" s="116">
        <f>IF($B$7=constants!$C$60,G222,IF($B$8=constants!$C$60,C222,E222))</f>
        <v>2.2104399999999975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2.2104399999999975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2.2130355555555532</v>
      </c>
      <c r="P222" s="126">
        <f t="shared" si="57"/>
        <v>2.1930355555555532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25">
      <c r="A223" s="3">
        <f t="shared" si="56"/>
        <v>1</v>
      </c>
      <c r="B223" s="113">
        <f t="shared" si="62"/>
        <v>1.4700000000000011</v>
      </c>
      <c r="C223" s="117">
        <f t="shared" si="54"/>
        <v>2.1870799999999972</v>
      </c>
      <c r="D223" s="117">
        <f t="shared" si="55"/>
        <v>1.295480000000004</v>
      </c>
      <c r="E223" s="117">
        <f t="shared" si="50"/>
        <v>3.0634450000000006</v>
      </c>
      <c r="F223" s="117">
        <f t="shared" si="68"/>
        <v>3.0784450000000008</v>
      </c>
      <c r="G223" s="117">
        <f t="shared" si="53"/>
        <v>2.1870799999999972</v>
      </c>
      <c r="H223" s="117">
        <f t="shared" si="48"/>
        <v>2.6384999999999996</v>
      </c>
      <c r="I223" s="116">
        <f>IF($B$7=constants!$C$60,G223,IF($B$8=constants!$C$60,C223,E223))</f>
        <v>2.1870799999999972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2.1870799999999972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2.1896755555555529</v>
      </c>
      <c r="P223" s="126">
        <f t="shared" si="57"/>
        <v>2.1696755555555529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25">
      <c r="A224" s="3">
        <f t="shared" si="56"/>
        <v>1</v>
      </c>
      <c r="B224" s="113">
        <f t="shared" si="62"/>
        <v>1.4800000000000011</v>
      </c>
      <c r="C224" s="117">
        <f t="shared" si="54"/>
        <v>2.1637199999999974</v>
      </c>
      <c r="D224" s="117">
        <f t="shared" si="55"/>
        <v>1.3248200000000034</v>
      </c>
      <c r="E224" s="117">
        <f t="shared" si="50"/>
        <v>3.070380000000001</v>
      </c>
      <c r="F224" s="117">
        <f t="shared" si="68"/>
        <v>3.0853800000000011</v>
      </c>
      <c r="G224" s="117">
        <f t="shared" si="53"/>
        <v>2.1637199999999974</v>
      </c>
      <c r="H224" s="117">
        <f t="shared" si="48"/>
        <v>2.6384999999999996</v>
      </c>
      <c r="I224" s="116">
        <f>IF($B$7=constants!$C$60,G224,IF($B$8=constants!$C$60,C224,E224))</f>
        <v>2.1637199999999974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2.1637199999999974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2.1663155555555531</v>
      </c>
      <c r="P224" s="126">
        <f t="shared" si="57"/>
        <v>2.1463155555555531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25">
      <c r="A225" s="3">
        <f t="shared" si="56"/>
        <v>1</v>
      </c>
      <c r="B225" s="113">
        <f t="shared" si="62"/>
        <v>1.4900000000000011</v>
      </c>
      <c r="C225" s="117">
        <f t="shared" si="54"/>
        <v>2.1403599999999976</v>
      </c>
      <c r="D225" s="117">
        <f t="shared" si="55"/>
        <v>1.3541600000000038</v>
      </c>
      <c r="E225" s="117">
        <f t="shared" si="50"/>
        <v>3.0773150000000009</v>
      </c>
      <c r="F225" s="117">
        <f t="shared" si="68"/>
        <v>3.092315000000001</v>
      </c>
      <c r="G225" s="117">
        <f t="shared" si="53"/>
        <v>2.1403599999999976</v>
      </c>
      <c r="H225" s="117">
        <f t="shared" si="48"/>
        <v>2.6384999999999996</v>
      </c>
      <c r="I225" s="116">
        <f>IF($B$7=constants!$C$60,G225,IF($B$8=constants!$C$60,C225,E225))</f>
        <v>2.1403599999999976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2.1403599999999976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2.1429555555555533</v>
      </c>
      <c r="P225" s="126">
        <f t="shared" si="57"/>
        <v>2.1229555555555533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25">
      <c r="A226" s="3">
        <f t="shared" si="56"/>
        <v>1</v>
      </c>
      <c r="B226" s="113">
        <f t="shared" si="62"/>
        <v>1.5000000000000011</v>
      </c>
      <c r="C226" s="117">
        <f>$D$19*B226+$D$20</f>
        <v>2.1170000000000027</v>
      </c>
      <c r="D226" s="117">
        <f t="shared" si="55"/>
        <v>1.3835000000000033</v>
      </c>
      <c r="E226" s="117">
        <f t="shared" si="50"/>
        <v>3.0842500000000008</v>
      </c>
      <c r="F226" s="117">
        <f t="shared" si="68"/>
        <v>3.0992500000000009</v>
      </c>
      <c r="G226" s="117">
        <f>B226*$H$51+$H$52</f>
        <v>2.1170000000000027</v>
      </c>
      <c r="H226" s="117">
        <f t="shared" si="48"/>
        <v>2.6384999999999996</v>
      </c>
      <c r="I226" s="116">
        <f>IF($B$7=constants!$C$60,G226,IF($B$8=constants!$C$60,C226,E226))</f>
        <v>2.1170000000000027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2.1170000000000027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2.1195955555555579</v>
      </c>
      <c r="P226" s="126">
        <f t="shared" si="57"/>
        <v>2.0995955555555579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25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2.1403600000000025</v>
      </c>
      <c r="D227" s="117">
        <f>D226</f>
        <v>1.3835000000000033</v>
      </c>
      <c r="E227" s="117">
        <f t="shared" si="50"/>
        <v>3.0911850000000012</v>
      </c>
      <c r="F227" s="117">
        <f t="shared" si="68"/>
        <v>3.1061850000000013</v>
      </c>
      <c r="G227" s="117">
        <f t="shared" ref="G227:G250" si="70">B227*$H$51+$H$52</f>
        <v>2.1403600000000025</v>
      </c>
      <c r="H227" s="117">
        <f t="shared" si="48"/>
        <v>2.6384999999999996</v>
      </c>
      <c r="I227" s="116">
        <f>IF($B$7=constants!$C$60,G227,IF($B$8=constants!$C$60,C227,E227))</f>
        <v>2.1403600000000025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2.1403600000000025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2.1382835555555579</v>
      </c>
      <c r="P227" s="126">
        <f t="shared" si="57"/>
        <v>2.1182835555555579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25">
      <c r="A228" s="3">
        <f t="shared" si="56"/>
        <v>1</v>
      </c>
      <c r="B228" s="113">
        <f t="shared" si="62"/>
        <v>1.5200000000000011</v>
      </c>
      <c r="C228" s="117">
        <f t="shared" si="69"/>
        <v>2.1637200000000028</v>
      </c>
      <c r="D228" s="117">
        <f t="shared" ref="D228:D250" si="71">D227</f>
        <v>1.3835000000000033</v>
      </c>
      <c r="E228" s="117">
        <f t="shared" si="50"/>
        <v>3.0981200000000007</v>
      </c>
      <c r="F228" s="117">
        <f t="shared" si="68"/>
        <v>3.1131200000000008</v>
      </c>
      <c r="G228" s="117">
        <f t="shared" si="70"/>
        <v>2.1637200000000028</v>
      </c>
      <c r="H228" s="117">
        <f t="shared" si="48"/>
        <v>2.6384999999999996</v>
      </c>
      <c r="I228" s="116">
        <f>IF($B$7=constants!$C$60,G228,IF($B$8=constants!$C$60,C228,E228))</f>
        <v>2.1637200000000028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2.1637200000000028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2.1611763555555581</v>
      </c>
      <c r="P228" s="126">
        <f t="shared" si="57"/>
        <v>2.1411763555555581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25">
      <c r="A229" s="3">
        <f t="shared" si="56"/>
        <v>1</v>
      </c>
      <c r="B229" s="113">
        <f t="shared" si="62"/>
        <v>1.5300000000000011</v>
      </c>
      <c r="C229" s="117">
        <f t="shared" si="69"/>
        <v>2.1870800000000026</v>
      </c>
      <c r="D229" s="117">
        <f t="shared" si="71"/>
        <v>1.3835000000000033</v>
      </c>
      <c r="E229" s="117">
        <f t="shared" si="50"/>
        <v>3.105055000000001</v>
      </c>
      <c r="F229" s="117">
        <f t="shared" si="68"/>
        <v>3.1200550000000011</v>
      </c>
      <c r="G229" s="117">
        <f t="shared" si="70"/>
        <v>2.1870800000000026</v>
      </c>
      <c r="H229" s="117">
        <f t="shared" si="48"/>
        <v>2.6384999999999996</v>
      </c>
      <c r="I229" s="116">
        <f>IF($B$7=constants!$C$60,G229,IF($B$8=constants!$C$60,C229,E229))</f>
        <v>2.1870800000000026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2.1870800000000026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2.1844896355555581</v>
      </c>
      <c r="P229" s="126">
        <f t="shared" si="57"/>
        <v>2.1644896355555581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25">
      <c r="A230" s="3">
        <f t="shared" si="56"/>
        <v>1</v>
      </c>
      <c r="B230" s="113">
        <f t="shared" si="62"/>
        <v>1.5400000000000011</v>
      </c>
      <c r="C230" s="117">
        <f t="shared" si="69"/>
        <v>2.2104400000000024</v>
      </c>
      <c r="D230" s="117">
        <f t="shared" si="71"/>
        <v>1.3835000000000033</v>
      </c>
      <c r="E230" s="117">
        <f t="shared" si="50"/>
        <v>3.1119900000000009</v>
      </c>
      <c r="F230" s="117">
        <f t="shared" si="68"/>
        <v>3.126990000000001</v>
      </c>
      <c r="G230" s="117">
        <f t="shared" si="70"/>
        <v>2.2104400000000024</v>
      </c>
      <c r="H230" s="117">
        <f t="shared" si="48"/>
        <v>2.6384999999999996</v>
      </c>
      <c r="I230" s="116">
        <f>IF($B$7=constants!$C$60,G230,IF($B$8=constants!$C$60,C230,E230))</f>
        <v>2.2104400000000024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2.2104400000000024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2.2078449635555581</v>
      </c>
      <c r="P230" s="126">
        <f t="shared" si="57"/>
        <v>2.1878449635555581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25">
      <c r="A231" s="3">
        <f t="shared" si="56"/>
        <v>1</v>
      </c>
      <c r="B231" s="113">
        <f t="shared" si="62"/>
        <v>1.5500000000000012</v>
      </c>
      <c r="C231" s="117">
        <f t="shared" si="69"/>
        <v>2.2338000000000027</v>
      </c>
      <c r="D231" s="117">
        <f t="shared" si="71"/>
        <v>1.3835000000000033</v>
      </c>
      <c r="E231" s="117">
        <f t="shared" si="50"/>
        <v>3.1189250000000008</v>
      </c>
      <c r="F231" s="117">
        <f t="shared" si="68"/>
        <v>3.133925000000001</v>
      </c>
      <c r="G231" s="117">
        <f t="shared" si="70"/>
        <v>2.2338000000000027</v>
      </c>
      <c r="H231" s="117">
        <f t="shared" si="48"/>
        <v>2.6384999999999996</v>
      </c>
      <c r="I231" s="116">
        <f>IF($B$7=constants!$C$60,G231,IF($B$8=constants!$C$60,C231,E231))</f>
        <v>2.2338000000000027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2.2338000000000027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2.2312044963555584</v>
      </c>
      <c r="P231" s="126">
        <f t="shared" si="57"/>
        <v>2.2112044963555584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25">
      <c r="A232" s="3">
        <f t="shared" si="56"/>
        <v>1</v>
      </c>
      <c r="B232" s="113">
        <f t="shared" si="62"/>
        <v>1.5600000000000012</v>
      </c>
      <c r="C232" s="117">
        <f t="shared" si="69"/>
        <v>2.2571600000000025</v>
      </c>
      <c r="D232" s="117">
        <f t="shared" si="71"/>
        <v>1.3835000000000033</v>
      </c>
      <c r="E232" s="117">
        <f t="shared" si="50"/>
        <v>3.1258600000000012</v>
      </c>
      <c r="F232" s="117">
        <f t="shared" si="68"/>
        <v>3.1408600000000013</v>
      </c>
      <c r="G232" s="117">
        <f t="shared" si="70"/>
        <v>2.2571600000000025</v>
      </c>
      <c r="H232" s="117">
        <f t="shared" si="48"/>
        <v>2.6384999999999996</v>
      </c>
      <c r="I232" s="116">
        <f>IF($B$7=constants!$C$60,G232,IF($B$8=constants!$C$60,C232,E232))</f>
        <v>2.2571600000000025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2.2571600000000025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2.2545644496355579</v>
      </c>
      <c r="P232" s="126">
        <f t="shared" si="57"/>
        <v>2.2345644496355579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25">
      <c r="A233" s="3">
        <f t="shared" si="56"/>
        <v>1</v>
      </c>
      <c r="B233" s="113">
        <f t="shared" si="62"/>
        <v>1.5700000000000012</v>
      </c>
      <c r="C233" s="117">
        <f t="shared" si="69"/>
        <v>2.2805200000000028</v>
      </c>
      <c r="D233" s="117">
        <f t="shared" si="71"/>
        <v>1.3835000000000033</v>
      </c>
      <c r="E233" s="117">
        <f t="shared" si="50"/>
        <v>3.1327950000000007</v>
      </c>
      <c r="F233" s="117">
        <f t="shared" si="68"/>
        <v>3.1477950000000008</v>
      </c>
      <c r="G233" s="117">
        <f t="shared" si="70"/>
        <v>2.2805200000000028</v>
      </c>
      <c r="H233" s="117">
        <f t="shared" si="48"/>
        <v>2.6384999999999996</v>
      </c>
      <c r="I233" s="116">
        <f>IF($B$7=constants!$C$60,G233,IF($B$8=constants!$C$60,C233,E233))</f>
        <v>2.2805200000000028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2.2805200000000028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2.2779244449635581</v>
      </c>
      <c r="P233" s="126">
        <f t="shared" si="57"/>
        <v>2.257924444963558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25">
      <c r="A234" s="3">
        <f t="shared" si="56"/>
        <v>1</v>
      </c>
      <c r="B234" s="113">
        <f t="shared" si="62"/>
        <v>1.5800000000000012</v>
      </c>
      <c r="C234" s="117">
        <f t="shared" si="69"/>
        <v>2.3038800000000026</v>
      </c>
      <c r="D234" s="117">
        <f t="shared" si="71"/>
        <v>1.3835000000000033</v>
      </c>
      <c r="E234" s="117">
        <f t="shared" si="50"/>
        <v>3.139730000000001</v>
      </c>
      <c r="F234" s="117">
        <f t="shared" si="68"/>
        <v>3.1547300000000011</v>
      </c>
      <c r="G234" s="117">
        <f t="shared" si="70"/>
        <v>2.3038800000000026</v>
      </c>
      <c r="H234" s="117">
        <f t="shared" si="48"/>
        <v>2.6384999999999996</v>
      </c>
      <c r="I234" s="116">
        <f>IF($B$7=constants!$C$60,G234,IF($B$8=constants!$C$60,C234,E234))</f>
        <v>2.3038800000000026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2.3038800000000026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2.3012844444963583</v>
      </c>
      <c r="P234" s="126">
        <f t="shared" si="57"/>
        <v>2.2812844444963583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25">
      <c r="A235" s="3">
        <f t="shared" si="56"/>
        <v>1</v>
      </c>
      <c r="B235" s="113">
        <f t="shared" si="62"/>
        <v>1.5900000000000012</v>
      </c>
      <c r="C235" s="117">
        <f t="shared" si="69"/>
        <v>2.3272400000000029</v>
      </c>
      <c r="D235" s="117">
        <f t="shared" si="71"/>
        <v>1.3835000000000033</v>
      </c>
      <c r="E235" s="117">
        <f t="shared" si="50"/>
        <v>3.1466650000000009</v>
      </c>
      <c r="F235" s="117">
        <f t="shared" si="68"/>
        <v>3.1616650000000011</v>
      </c>
      <c r="G235" s="117">
        <f t="shared" si="70"/>
        <v>2.3272400000000029</v>
      </c>
      <c r="H235" s="117">
        <f t="shared" si="48"/>
        <v>2.6384999999999996</v>
      </c>
      <c r="I235" s="116">
        <f>IF($B$7=constants!$C$60,G235,IF($B$8=constants!$C$60,C235,E235))</f>
        <v>2.3272400000000029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2.3272400000000029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2.3246444444496386</v>
      </c>
      <c r="P235" s="126">
        <f t="shared" si="57"/>
        <v>2.3046444444496386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25">
      <c r="A236" s="3">
        <f t="shared" si="56"/>
        <v>1</v>
      </c>
      <c r="B236" s="113">
        <f t="shared" si="62"/>
        <v>1.6000000000000012</v>
      </c>
      <c r="C236" s="117">
        <f t="shared" si="69"/>
        <v>2.3506000000000027</v>
      </c>
      <c r="D236" s="117">
        <f t="shared" si="71"/>
        <v>1.3835000000000033</v>
      </c>
      <c r="E236" s="117">
        <f t="shared" si="50"/>
        <v>3.1536000000000008</v>
      </c>
      <c r="F236" s="117">
        <f t="shared" si="68"/>
        <v>3.168600000000001</v>
      </c>
      <c r="G236" s="117">
        <f t="shared" si="70"/>
        <v>2.3506000000000027</v>
      </c>
      <c r="H236" s="117">
        <f t="shared" si="48"/>
        <v>2.6384999999999996</v>
      </c>
      <c r="I236" s="116">
        <f>IF($B$7=constants!$C$60,G236,IF($B$8=constants!$C$60,C236,E236))</f>
        <v>2.3506000000000027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2.3506000000000027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2.3480044444449661</v>
      </c>
      <c r="P236" s="126">
        <f t="shared" si="57"/>
        <v>2.3280044444449661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25">
      <c r="A237" s="3">
        <f t="shared" si="56"/>
        <v>1</v>
      </c>
      <c r="B237" s="113">
        <f t="shared" si="62"/>
        <v>1.6100000000000012</v>
      </c>
      <c r="C237" s="117">
        <f t="shared" si="69"/>
        <v>2.3739600000000025</v>
      </c>
      <c r="D237" s="117">
        <f t="shared" si="71"/>
        <v>1.3835000000000033</v>
      </c>
      <c r="E237" s="117">
        <f t="shared" si="50"/>
        <v>3.1605350000000012</v>
      </c>
      <c r="F237" s="117">
        <f t="shared" si="68"/>
        <v>3.1755350000000013</v>
      </c>
      <c r="G237" s="117">
        <f t="shared" si="70"/>
        <v>2.3739600000000025</v>
      </c>
      <c r="H237" s="117">
        <f t="shared" si="48"/>
        <v>2.6384999999999996</v>
      </c>
      <c r="I237" s="116">
        <f>IF($B$7=constants!$C$60,G237,IF($B$8=constants!$C$60,C237,E237))</f>
        <v>2.3739600000000025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2.3739600000000025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2.3713644444444988</v>
      </c>
      <c r="P237" s="126">
        <f t="shared" si="57"/>
        <v>2.3513644444444988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25">
      <c r="A238" s="3">
        <f t="shared" si="56"/>
        <v>1</v>
      </c>
      <c r="B238" s="113">
        <f t="shared" si="62"/>
        <v>1.6200000000000012</v>
      </c>
      <c r="C238" s="117">
        <f t="shared" si="69"/>
        <v>2.3973200000000028</v>
      </c>
      <c r="D238" s="117">
        <f t="shared" si="71"/>
        <v>1.3835000000000033</v>
      </c>
      <c r="E238" s="117">
        <f t="shared" si="50"/>
        <v>3.1674700000000007</v>
      </c>
      <c r="F238" s="117">
        <f t="shared" si="68"/>
        <v>3.1824700000000008</v>
      </c>
      <c r="G238" s="117">
        <f t="shared" si="70"/>
        <v>2.3973200000000028</v>
      </c>
      <c r="H238" s="117">
        <f t="shared" si="48"/>
        <v>2.6384999999999996</v>
      </c>
      <c r="I238" s="116">
        <f>IF($B$7=constants!$C$60,G238,IF($B$8=constants!$C$60,C238,E238))</f>
        <v>2.3973200000000028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2.3973200000000028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2.3947244444444524</v>
      </c>
      <c r="P238" s="126">
        <f t="shared" si="57"/>
        <v>2.3747244444444524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25">
      <c r="A239" s="3">
        <f t="shared" si="56"/>
        <v>1</v>
      </c>
      <c r="B239" s="113">
        <f t="shared" si="62"/>
        <v>1.6300000000000012</v>
      </c>
      <c r="C239" s="117">
        <f t="shared" si="69"/>
        <v>2.4206800000000026</v>
      </c>
      <c r="D239" s="117">
        <f t="shared" si="71"/>
        <v>1.3835000000000033</v>
      </c>
      <c r="E239" s="117">
        <f t="shared" si="50"/>
        <v>3.174405000000001</v>
      </c>
      <c r="F239" s="117">
        <f t="shared" si="68"/>
        <v>3.1894050000000012</v>
      </c>
      <c r="G239" s="117">
        <f t="shared" si="70"/>
        <v>2.4206800000000026</v>
      </c>
      <c r="H239" s="117">
        <f t="shared" si="48"/>
        <v>2.6384999999999996</v>
      </c>
      <c r="I239" s="116">
        <f>IF($B$7=constants!$C$60,G239,IF($B$8=constants!$C$60,C239,E239))</f>
        <v>2.4206800000000026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2.4206800000000026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2.4180844444444478</v>
      </c>
      <c r="P239" s="126">
        <f t="shared" si="57"/>
        <v>2.3980844444444478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25">
      <c r="A240" s="3">
        <f t="shared" si="56"/>
        <v>1</v>
      </c>
      <c r="B240" s="113">
        <f t="shared" si="62"/>
        <v>1.6400000000000012</v>
      </c>
      <c r="C240" s="117">
        <f t="shared" si="69"/>
        <v>2.4440400000000029</v>
      </c>
      <c r="D240" s="117">
        <f t="shared" si="71"/>
        <v>1.3835000000000033</v>
      </c>
      <c r="E240" s="117">
        <f t="shared" si="50"/>
        <v>3.1813400000000009</v>
      </c>
      <c r="F240" s="117">
        <f t="shared" si="68"/>
        <v>3.1963400000000011</v>
      </c>
      <c r="G240" s="117">
        <f t="shared" si="70"/>
        <v>2.4440400000000029</v>
      </c>
      <c r="H240" s="117">
        <f t="shared" si="48"/>
        <v>2.6384999999999996</v>
      </c>
      <c r="I240" s="116">
        <f>IF($B$7=constants!$C$60,G240,IF($B$8=constants!$C$60,C240,E240))</f>
        <v>2.4440400000000029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2.4440400000000029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2.4414444444444472</v>
      </c>
      <c r="P240" s="126">
        <f t="shared" si="57"/>
        <v>2.4214444444444472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25">
      <c r="A241" s="3">
        <f t="shared" si="56"/>
        <v>1</v>
      </c>
      <c r="B241" s="113">
        <f t="shared" si="62"/>
        <v>1.6500000000000012</v>
      </c>
      <c r="C241" s="117">
        <f t="shared" si="69"/>
        <v>2.4674000000000027</v>
      </c>
      <c r="D241" s="117">
        <f t="shared" si="71"/>
        <v>1.3835000000000033</v>
      </c>
      <c r="E241" s="117">
        <f t="shared" si="50"/>
        <v>3.1882750000000009</v>
      </c>
      <c r="F241" s="117">
        <f t="shared" ref="F241:F272" si="75">E241+$F$74</f>
        <v>3.203275000000001</v>
      </c>
      <c r="G241" s="117">
        <f t="shared" si="70"/>
        <v>2.4674000000000027</v>
      </c>
      <c r="H241" s="117">
        <f t="shared" ref="H241:H275" si="76">H240</f>
        <v>2.6384999999999996</v>
      </c>
      <c r="I241" s="116">
        <f>IF($B$7=constants!$C$60,G241,IF($B$8=constants!$C$60,C241,E241))</f>
        <v>2.4674000000000027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2.4674000000000027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2.464804444444447</v>
      </c>
      <c r="P241" s="126">
        <f t="shared" si="57"/>
        <v>2.444804444444447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25">
      <c r="A242" s="3">
        <f t="shared" si="56"/>
        <v>1</v>
      </c>
      <c r="B242" s="113">
        <f t="shared" si="62"/>
        <v>1.6600000000000013</v>
      </c>
      <c r="C242" s="117">
        <f t="shared" si="69"/>
        <v>2.4907600000000025</v>
      </c>
      <c r="D242" s="117">
        <f t="shared" si="71"/>
        <v>1.3835000000000033</v>
      </c>
      <c r="E242" s="117">
        <f t="shared" ref="E242:E275" si="77">$K$11*$B242+$K$12</f>
        <v>3.1952100000000012</v>
      </c>
      <c r="F242" s="117">
        <f t="shared" si="75"/>
        <v>3.2102100000000013</v>
      </c>
      <c r="G242" s="117">
        <f t="shared" si="70"/>
        <v>2.4907600000000025</v>
      </c>
      <c r="H242" s="117">
        <f t="shared" si="76"/>
        <v>2.6384999999999996</v>
      </c>
      <c r="I242" s="116">
        <f>IF($B$7=constants!$C$60,G242,IF($B$8=constants!$C$60,C242,E242))</f>
        <v>2.4907600000000025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2.4907600000000025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2.4881644444444468</v>
      </c>
      <c r="P242" s="126">
        <f t="shared" si="57"/>
        <v>2.4681644444444468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25">
      <c r="A243" s="3">
        <f t="shared" si="56"/>
        <v>1</v>
      </c>
      <c r="B243" s="113">
        <f t="shared" si="62"/>
        <v>1.6700000000000013</v>
      </c>
      <c r="C243" s="117">
        <f t="shared" si="69"/>
        <v>2.5141200000000028</v>
      </c>
      <c r="D243" s="117">
        <f t="shared" si="71"/>
        <v>1.3835000000000033</v>
      </c>
      <c r="E243" s="117">
        <f t="shared" si="77"/>
        <v>3.2021450000000007</v>
      </c>
      <c r="F243" s="117">
        <f t="shared" si="75"/>
        <v>3.2171450000000008</v>
      </c>
      <c r="G243" s="117">
        <f t="shared" si="70"/>
        <v>2.5141200000000028</v>
      </c>
      <c r="H243" s="117">
        <f t="shared" si="76"/>
        <v>2.6384999999999996</v>
      </c>
      <c r="I243" s="116">
        <f>IF($B$7=constants!$C$60,G243,IF($B$8=constants!$C$60,C243,E243))</f>
        <v>2.5141200000000028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2.5141200000000028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2.5115244444444471</v>
      </c>
      <c r="P243" s="126">
        <f t="shared" si="57"/>
        <v>2.4915244444444471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25">
      <c r="A244" s="3">
        <f t="shared" si="56"/>
        <v>1</v>
      </c>
      <c r="B244" s="113">
        <f t="shared" si="62"/>
        <v>1.6800000000000013</v>
      </c>
      <c r="C244" s="117">
        <f t="shared" si="69"/>
        <v>2.5374800000000026</v>
      </c>
      <c r="D244" s="117">
        <f t="shared" si="71"/>
        <v>1.3835000000000033</v>
      </c>
      <c r="E244" s="117">
        <f t="shared" si="77"/>
        <v>3.209080000000001</v>
      </c>
      <c r="F244" s="117">
        <f t="shared" si="75"/>
        <v>3.2240800000000012</v>
      </c>
      <c r="G244" s="117">
        <f t="shared" si="70"/>
        <v>2.5374800000000026</v>
      </c>
      <c r="H244" s="117">
        <f t="shared" si="76"/>
        <v>2.6384999999999996</v>
      </c>
      <c r="I244" s="116">
        <f>IF($B$7=constants!$C$60,G244,IF($B$8=constants!$C$60,C244,E244))</f>
        <v>2.5374800000000026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2.5374800000000026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2.5348844444444469</v>
      </c>
      <c r="P244" s="126">
        <f t="shared" si="57"/>
        <v>2.5148844444444469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25">
      <c r="A245" s="3">
        <f t="shared" si="56"/>
        <v>1</v>
      </c>
      <c r="B245" s="113">
        <f t="shared" si="62"/>
        <v>1.6900000000000013</v>
      </c>
      <c r="C245" s="117">
        <f t="shared" si="69"/>
        <v>2.5608400000000029</v>
      </c>
      <c r="D245" s="117">
        <f t="shared" si="71"/>
        <v>1.3835000000000033</v>
      </c>
      <c r="E245" s="117">
        <f t="shared" si="77"/>
        <v>3.216015000000001</v>
      </c>
      <c r="F245" s="117">
        <f t="shared" si="75"/>
        <v>3.2310150000000011</v>
      </c>
      <c r="G245" s="117">
        <f t="shared" si="70"/>
        <v>2.5608400000000029</v>
      </c>
      <c r="H245" s="117">
        <f t="shared" si="76"/>
        <v>2.6384999999999996</v>
      </c>
      <c r="I245" s="116">
        <f>IF($B$7=constants!$C$60,G245,IF($B$8=constants!$C$60,C245,E245))</f>
        <v>2.5608400000000029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2.5608400000000029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2.5582444444444472</v>
      </c>
      <c r="P245" s="126">
        <f t="shared" si="57"/>
        <v>2.5382444444444472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25">
      <c r="A246" s="3">
        <f t="shared" si="56"/>
        <v>1</v>
      </c>
      <c r="B246" s="113">
        <f t="shared" si="62"/>
        <v>1.7000000000000013</v>
      </c>
      <c r="C246" s="117">
        <f t="shared" si="69"/>
        <v>2.5842000000000027</v>
      </c>
      <c r="D246" s="117">
        <f t="shared" si="71"/>
        <v>1.3835000000000033</v>
      </c>
      <c r="E246" s="117">
        <f t="shared" si="77"/>
        <v>3.2229500000000009</v>
      </c>
      <c r="F246" s="117">
        <f t="shared" si="75"/>
        <v>3.237950000000001</v>
      </c>
      <c r="G246" s="117">
        <f t="shared" si="70"/>
        <v>2.5842000000000027</v>
      </c>
      <c r="H246" s="117">
        <f t="shared" si="76"/>
        <v>2.6384999999999996</v>
      </c>
      <c r="I246" s="116">
        <f>IF($B$7=constants!$C$60,G246,IF($B$8=constants!$C$60,C246,E246))</f>
        <v>2.5842000000000027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2.5842000000000027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2.581604444444447</v>
      </c>
      <c r="P246" s="126">
        <f t="shared" si="57"/>
        <v>2.561604444444447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25">
      <c r="A247" s="3">
        <f t="shared" si="56"/>
        <v>1</v>
      </c>
      <c r="B247" s="113">
        <f t="shared" si="62"/>
        <v>1.7100000000000013</v>
      </c>
      <c r="C247" s="117">
        <f t="shared" si="69"/>
        <v>2.6075600000000025</v>
      </c>
      <c r="D247" s="117">
        <f t="shared" si="71"/>
        <v>1.3835000000000033</v>
      </c>
      <c r="E247" s="117">
        <f t="shared" si="77"/>
        <v>3.2298850000000012</v>
      </c>
      <c r="F247" s="117">
        <f t="shared" si="75"/>
        <v>3.2448850000000014</v>
      </c>
      <c r="G247" s="117">
        <f t="shared" si="70"/>
        <v>2.6075600000000025</v>
      </c>
      <c r="H247" s="117">
        <f t="shared" si="76"/>
        <v>2.6384999999999996</v>
      </c>
      <c r="I247" s="116">
        <f>IF($B$7=constants!$C$60,G247,IF($B$8=constants!$C$60,C247,E247))</f>
        <v>2.6075600000000025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2.6075600000000025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2.6049644444444469</v>
      </c>
      <c r="P247" s="126">
        <f t="shared" si="57"/>
        <v>2.5849644444444468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25">
      <c r="A248" s="3">
        <f t="shared" si="56"/>
        <v>1</v>
      </c>
      <c r="B248" s="113">
        <f t="shared" si="62"/>
        <v>1.7200000000000013</v>
      </c>
      <c r="C248" s="117">
        <f t="shared" si="69"/>
        <v>2.6309200000000024</v>
      </c>
      <c r="D248" s="117">
        <f t="shared" si="71"/>
        <v>1.3835000000000033</v>
      </c>
      <c r="E248" s="117">
        <f t="shared" si="77"/>
        <v>3.2368200000000007</v>
      </c>
      <c r="F248" s="117">
        <f t="shared" si="75"/>
        <v>3.2518200000000008</v>
      </c>
      <c r="G248" s="117">
        <f t="shared" si="70"/>
        <v>2.6309200000000024</v>
      </c>
      <c r="H248" s="117">
        <f t="shared" si="76"/>
        <v>2.6384999999999996</v>
      </c>
      <c r="I248" s="116">
        <f>IF($B$7=constants!$C$60,G248,IF($B$8=constants!$C$60,C248,E248))</f>
        <v>2.6309200000000024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2.6309200000000024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2.6283244444444467</v>
      </c>
      <c r="P248" s="126">
        <f t="shared" si="57"/>
        <v>2.6083244444444467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25">
      <c r="A249" s="3">
        <f t="shared" si="56"/>
        <v>1</v>
      </c>
      <c r="B249" s="113">
        <f t="shared" si="62"/>
        <v>1.7300000000000013</v>
      </c>
      <c r="C249" s="117">
        <f t="shared" si="69"/>
        <v>2.6542800000000026</v>
      </c>
      <c r="D249" s="117">
        <f t="shared" si="71"/>
        <v>1.3835000000000033</v>
      </c>
      <c r="E249" s="117">
        <f t="shared" si="77"/>
        <v>3.2437550000000011</v>
      </c>
      <c r="F249" s="117">
        <f t="shared" si="75"/>
        <v>3.2587550000000012</v>
      </c>
      <c r="G249" s="117">
        <f t="shared" si="70"/>
        <v>2.6542800000000026</v>
      </c>
      <c r="H249" s="117">
        <f t="shared" si="76"/>
        <v>2.6384999999999996</v>
      </c>
      <c r="I249" s="116">
        <f>IF($B$7=constants!$C$60,G249,IF($B$8=constants!$C$60,C249,E249))</f>
        <v>2.6542800000000026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2.6542800000000026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2.651684444444447</v>
      </c>
      <c r="P249" s="126">
        <f t="shared" si="57"/>
        <v>2.6316844444444469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25">
      <c r="A250" s="3">
        <f t="shared" si="56"/>
        <v>1</v>
      </c>
      <c r="B250" s="113">
        <f t="shared" si="62"/>
        <v>1.7400000000000013</v>
      </c>
      <c r="C250" s="117">
        <f t="shared" si="69"/>
        <v>2.6776400000000029</v>
      </c>
      <c r="D250" s="117">
        <f t="shared" si="71"/>
        <v>1.3835000000000033</v>
      </c>
      <c r="E250" s="117">
        <f t="shared" si="77"/>
        <v>3.250690000000001</v>
      </c>
      <c r="F250" s="117">
        <f t="shared" si="75"/>
        <v>3.2656900000000011</v>
      </c>
      <c r="G250" s="117">
        <f t="shared" si="70"/>
        <v>2.6776400000000029</v>
      </c>
      <c r="H250" s="117">
        <f t="shared" si="76"/>
        <v>2.6384999999999996</v>
      </c>
      <c r="I250" s="116">
        <f>IF($B$7=constants!$C$60,G250,IF($B$8=constants!$C$60,C250,E250))</f>
        <v>2.6776400000000029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2.6776400000000029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2.6750444444444472</v>
      </c>
      <c r="P250" s="126">
        <f t="shared" si="57"/>
        <v>2.6550444444444472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25">
      <c r="A251" s="3">
        <f t="shared" si="56"/>
        <v>1</v>
      </c>
      <c r="B251" s="113">
        <f t="shared" si="62"/>
        <v>1.7500000000000013</v>
      </c>
      <c r="C251" s="117">
        <f>$D$23*B251+$D$24</f>
        <v>2.7009999999999961</v>
      </c>
      <c r="D251" s="117">
        <f>$G$23*$B251+$G$24</f>
        <v>1.3835000000000037</v>
      </c>
      <c r="E251" s="117">
        <f t="shared" si="77"/>
        <v>3.2576250000000009</v>
      </c>
      <c r="F251" s="117">
        <f t="shared" si="75"/>
        <v>3.272625000000001</v>
      </c>
      <c r="G251" s="117">
        <f>B251*$H$56+$H$57</f>
        <v>2.7009999999999987</v>
      </c>
      <c r="H251" s="117">
        <f t="shared" si="76"/>
        <v>2.6384999999999996</v>
      </c>
      <c r="I251" s="116">
        <f>IF($B$7=constants!$C$60,G251,IF($B$8=constants!$C$60,C251,E251))</f>
        <v>2.7009999999999961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2.7009999999999961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2.6984044444444413</v>
      </c>
      <c r="P251" s="126">
        <f t="shared" si="57"/>
        <v>2.6784044444444413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25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2.6776399999999967</v>
      </c>
      <c r="D252" s="117">
        <f t="shared" ref="D252:D276" si="80">$G$23*$B252+$G$24</f>
        <v>1.4128400000000032</v>
      </c>
      <c r="E252" s="117">
        <f t="shared" si="77"/>
        <v>3.2645600000000012</v>
      </c>
      <c r="F252" s="117">
        <f t="shared" si="75"/>
        <v>3.2795600000000014</v>
      </c>
      <c r="G252" s="117">
        <f t="shared" ref="G252:G276" si="81">B252*$H$56+$H$57</f>
        <v>2.6978999999999989</v>
      </c>
      <c r="H252" s="117">
        <f t="shared" si="76"/>
        <v>2.6384999999999996</v>
      </c>
      <c r="I252" s="116">
        <f>IF($B$7=constants!$C$60,G252,IF($B$8=constants!$C$60,C252,E252))</f>
        <v>2.6776399999999967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2.6776399999999967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2.6797164444444412</v>
      </c>
      <c r="P252" s="126">
        <f t="shared" si="57"/>
        <v>2.6597164444444412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25">
      <c r="A253" s="3">
        <f t="shared" si="56"/>
        <v>1</v>
      </c>
      <c r="B253" s="113">
        <f t="shared" si="62"/>
        <v>1.7700000000000014</v>
      </c>
      <c r="C253" s="117">
        <f t="shared" si="79"/>
        <v>2.6542799999999964</v>
      </c>
      <c r="D253" s="117">
        <f t="shared" si="80"/>
        <v>1.4421800000000036</v>
      </c>
      <c r="E253" s="117">
        <f t="shared" si="77"/>
        <v>3.2714950000000007</v>
      </c>
      <c r="F253" s="117">
        <f t="shared" si="75"/>
        <v>3.2864950000000008</v>
      </c>
      <c r="G253" s="117">
        <f t="shared" si="81"/>
        <v>2.694799999999999</v>
      </c>
      <c r="H253" s="117">
        <f t="shared" si="76"/>
        <v>2.6384999999999996</v>
      </c>
      <c r="I253" s="116">
        <f>IF($B$7=constants!$C$60,G253,IF($B$8=constants!$C$60,C253,E253))</f>
        <v>2.6542799999999964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2.6542799999999964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2.6568236444444411</v>
      </c>
      <c r="P253" s="126">
        <f t="shared" si="57"/>
        <v>2.6368236444444411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25">
      <c r="A254" s="3">
        <f t="shared" si="56"/>
        <v>1</v>
      </c>
      <c r="B254" s="113">
        <f t="shared" si="62"/>
        <v>1.7800000000000014</v>
      </c>
      <c r="C254" s="117">
        <f t="shared" si="79"/>
        <v>2.6309199999999962</v>
      </c>
      <c r="D254" s="117">
        <f t="shared" si="80"/>
        <v>1.4715200000000039</v>
      </c>
      <c r="E254" s="117">
        <f t="shared" si="77"/>
        <v>3.2784300000000011</v>
      </c>
      <c r="F254" s="117">
        <f t="shared" si="75"/>
        <v>3.2934300000000012</v>
      </c>
      <c r="G254" s="117">
        <f t="shared" si="81"/>
        <v>2.6916999999999986</v>
      </c>
      <c r="H254" s="117">
        <f t="shared" si="76"/>
        <v>2.6384999999999996</v>
      </c>
      <c r="I254" s="116">
        <f>IF($B$7=constants!$C$60,G254,IF($B$8=constants!$C$60,C254,E254))</f>
        <v>2.6309199999999962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2.6309199999999962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2.6335103644444406</v>
      </c>
      <c r="P254" s="126">
        <f t="shared" si="57"/>
        <v>2.6135103644444406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25">
      <c r="A255" s="3">
        <f t="shared" si="56"/>
        <v>1</v>
      </c>
      <c r="B255" s="113">
        <f t="shared" si="62"/>
        <v>1.7900000000000014</v>
      </c>
      <c r="C255" s="117">
        <f t="shared" si="79"/>
        <v>2.6075599999999968</v>
      </c>
      <c r="D255" s="117">
        <f t="shared" si="80"/>
        <v>1.5008600000000034</v>
      </c>
      <c r="E255" s="117">
        <f t="shared" si="77"/>
        <v>3.285365000000001</v>
      </c>
      <c r="F255" s="117">
        <f t="shared" si="75"/>
        <v>3.3003650000000011</v>
      </c>
      <c r="G255" s="117">
        <f t="shared" si="81"/>
        <v>2.6885999999999988</v>
      </c>
      <c r="H255" s="117">
        <f t="shared" si="76"/>
        <v>2.6384999999999996</v>
      </c>
      <c r="I255" s="116">
        <f>IF($B$7=constants!$C$60,G255,IF($B$8=constants!$C$60,C255,E255))</f>
        <v>2.6075599999999968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2.6075599999999968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2.610155036444441</v>
      </c>
      <c r="P255" s="126">
        <f t="shared" si="57"/>
        <v>2.590155036444441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25">
      <c r="A256" s="3">
        <f t="shared" si="56"/>
        <v>1</v>
      </c>
      <c r="B256" s="113">
        <f t="shared" si="62"/>
        <v>1.8000000000000014</v>
      </c>
      <c r="C256" s="117">
        <f t="shared" si="79"/>
        <v>2.5841999999999965</v>
      </c>
      <c r="D256" s="117">
        <f t="shared" si="80"/>
        <v>1.5302000000000038</v>
      </c>
      <c r="E256" s="117">
        <f t="shared" si="77"/>
        <v>3.2923000000000009</v>
      </c>
      <c r="F256" s="117">
        <f t="shared" si="75"/>
        <v>3.307300000000001</v>
      </c>
      <c r="G256" s="117">
        <f t="shared" si="81"/>
        <v>2.6854999999999989</v>
      </c>
      <c r="H256" s="117">
        <f t="shared" si="76"/>
        <v>2.6384999999999996</v>
      </c>
      <c r="I256" s="116">
        <f>IF($B$7=constants!$C$60,G256,IF($B$8=constants!$C$60,C256,E256))</f>
        <v>2.5841999999999965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2.5841999999999965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2.5867955036444408</v>
      </c>
      <c r="P256" s="126">
        <f t="shared" si="57"/>
        <v>2.5667955036444408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25">
      <c r="A257" s="3">
        <f t="shared" si="56"/>
        <v>1</v>
      </c>
      <c r="B257" s="113">
        <f t="shared" si="62"/>
        <v>1.8100000000000014</v>
      </c>
      <c r="C257" s="117">
        <f t="shared" si="79"/>
        <v>2.5608399999999962</v>
      </c>
      <c r="D257" s="117">
        <f t="shared" si="80"/>
        <v>1.5595400000000033</v>
      </c>
      <c r="E257" s="117">
        <f t="shared" si="77"/>
        <v>3.2992350000000012</v>
      </c>
      <c r="F257" s="117">
        <f t="shared" si="75"/>
        <v>3.3142350000000014</v>
      </c>
      <c r="G257" s="117">
        <f t="shared" si="81"/>
        <v>2.6823999999999986</v>
      </c>
      <c r="H257" s="117">
        <f t="shared" si="76"/>
        <v>2.6384999999999996</v>
      </c>
      <c r="I257" s="116">
        <f>IF($B$7=constants!$C$60,G257,IF($B$8=constants!$C$60,C257,E257))</f>
        <v>2.5608399999999962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2.5608399999999962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2.5634355503644408</v>
      </c>
      <c r="P257" s="126">
        <f t="shared" si="57"/>
        <v>2.5434355503644408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25">
      <c r="A258" s="3">
        <f t="shared" si="56"/>
        <v>1</v>
      </c>
      <c r="B258" s="113">
        <f t="shared" si="62"/>
        <v>1.8200000000000014</v>
      </c>
      <c r="C258" s="117">
        <f t="shared" si="79"/>
        <v>2.5374799999999968</v>
      </c>
      <c r="D258" s="117">
        <f t="shared" si="80"/>
        <v>1.5888800000000036</v>
      </c>
      <c r="E258" s="117">
        <f t="shared" si="77"/>
        <v>3.3061700000000012</v>
      </c>
      <c r="F258" s="117">
        <f t="shared" si="75"/>
        <v>3.3211700000000013</v>
      </c>
      <c r="G258" s="117">
        <f t="shared" si="81"/>
        <v>2.6792999999999987</v>
      </c>
      <c r="H258" s="117">
        <f t="shared" si="76"/>
        <v>2.6384999999999996</v>
      </c>
      <c r="I258" s="116">
        <f>IF($B$7=constants!$C$60,G258,IF($B$8=constants!$C$60,C258,E258))</f>
        <v>2.5374799999999968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2.5374799999999968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2.5400755550364411</v>
      </c>
      <c r="P258" s="126">
        <f t="shared" si="57"/>
        <v>2.5200755550364411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25">
      <c r="A259" s="3">
        <f t="shared" si="56"/>
        <v>1</v>
      </c>
      <c r="B259" s="113">
        <f t="shared" si="62"/>
        <v>1.8300000000000014</v>
      </c>
      <c r="C259" s="117">
        <f t="shared" si="79"/>
        <v>2.5141199999999966</v>
      </c>
      <c r="D259" s="117">
        <f t="shared" si="80"/>
        <v>1.618220000000004</v>
      </c>
      <c r="E259" s="117">
        <f t="shared" si="77"/>
        <v>3.3131050000000011</v>
      </c>
      <c r="F259" s="117">
        <f t="shared" si="75"/>
        <v>3.3281050000000012</v>
      </c>
      <c r="G259" s="117">
        <f t="shared" si="81"/>
        <v>2.6761999999999988</v>
      </c>
      <c r="H259" s="117">
        <f t="shared" si="76"/>
        <v>2.6384999999999996</v>
      </c>
      <c r="I259" s="116">
        <f>IF($B$7=constants!$C$60,G259,IF($B$8=constants!$C$60,C259,E259))</f>
        <v>2.5141199999999966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2.5141199999999966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2.5167155555036409</v>
      </c>
      <c r="P259" s="126">
        <f t="shared" si="57"/>
        <v>2.4967155555036409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25">
      <c r="A260" s="3">
        <f t="shared" si="56"/>
        <v>1</v>
      </c>
      <c r="B260" s="113">
        <f t="shared" si="62"/>
        <v>1.8400000000000014</v>
      </c>
      <c r="C260" s="117">
        <f t="shared" si="79"/>
        <v>2.4907599999999963</v>
      </c>
      <c r="D260" s="117">
        <f t="shared" si="80"/>
        <v>1.6475600000000035</v>
      </c>
      <c r="E260" s="117">
        <f t="shared" si="77"/>
        <v>3.320040000000001</v>
      </c>
      <c r="F260" s="117">
        <f t="shared" si="75"/>
        <v>3.3350400000000011</v>
      </c>
      <c r="G260" s="117">
        <f t="shared" si="81"/>
        <v>2.6730999999999989</v>
      </c>
      <c r="H260" s="117">
        <f t="shared" si="76"/>
        <v>2.6384999999999996</v>
      </c>
      <c r="I260" s="116">
        <f>IF($B$7=constants!$C$60,G260,IF($B$8=constants!$C$60,C260,E260))</f>
        <v>2.4907599999999963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2.4907599999999963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2.4933555555503606</v>
      </c>
      <c r="P260" s="126">
        <f t="shared" si="57"/>
        <v>2.4733555555503606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25">
      <c r="A261" s="3">
        <f t="shared" si="56"/>
        <v>1</v>
      </c>
      <c r="B261" s="113">
        <f t="shared" si="62"/>
        <v>1.8500000000000014</v>
      </c>
      <c r="C261" s="117">
        <f t="shared" si="79"/>
        <v>2.467399999999996</v>
      </c>
      <c r="D261" s="117">
        <f t="shared" si="80"/>
        <v>1.6769000000000038</v>
      </c>
      <c r="E261" s="117">
        <f t="shared" si="77"/>
        <v>3.3269750000000009</v>
      </c>
      <c r="F261" s="117">
        <f t="shared" si="75"/>
        <v>3.341975000000001</v>
      </c>
      <c r="G261" s="117">
        <f t="shared" si="81"/>
        <v>2.6699999999999986</v>
      </c>
      <c r="H261" s="117">
        <f t="shared" si="76"/>
        <v>2.6384999999999996</v>
      </c>
      <c r="I261" s="116">
        <f>IF($B$7=constants!$C$60,G261,IF($B$8=constants!$C$60,C261,E261))</f>
        <v>2.467399999999996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2.467399999999996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2.4699955555550326</v>
      </c>
      <c r="P261" s="126">
        <f t="shared" si="57"/>
        <v>2.4499955555550326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25">
      <c r="A262" s="3">
        <f t="shared" si="56"/>
        <v>1</v>
      </c>
      <c r="B262" s="113">
        <f t="shared" si="62"/>
        <v>1.8600000000000014</v>
      </c>
      <c r="C262" s="117">
        <f t="shared" si="79"/>
        <v>2.4440399999999967</v>
      </c>
      <c r="D262" s="117">
        <f t="shared" si="80"/>
        <v>1.7062400000000033</v>
      </c>
      <c r="E262" s="117">
        <f t="shared" si="77"/>
        <v>3.3339100000000013</v>
      </c>
      <c r="F262" s="117">
        <f t="shared" si="75"/>
        <v>3.3489100000000014</v>
      </c>
      <c r="G262" s="117">
        <f t="shared" si="81"/>
        <v>2.6668999999999987</v>
      </c>
      <c r="H262" s="117">
        <f t="shared" si="76"/>
        <v>2.6384999999999996</v>
      </c>
      <c r="I262" s="116">
        <f>IF($B$7=constants!$C$60,G262,IF($B$8=constants!$C$60,C262,E262))</f>
        <v>2.4440399999999967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2.4440399999999967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2.4466355555555004</v>
      </c>
      <c r="P262" s="126">
        <f t="shared" si="57"/>
        <v>2.4266355555555004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25">
      <c r="A263" s="3">
        <f t="shared" si="56"/>
        <v>1</v>
      </c>
      <c r="B263" s="113">
        <f t="shared" si="62"/>
        <v>1.8700000000000014</v>
      </c>
      <c r="C263" s="117">
        <f t="shared" si="79"/>
        <v>2.4206799999999964</v>
      </c>
      <c r="D263" s="117">
        <f t="shared" si="80"/>
        <v>1.7355800000000037</v>
      </c>
      <c r="E263" s="117">
        <f t="shared" si="77"/>
        <v>3.3408450000000012</v>
      </c>
      <c r="F263" s="117">
        <f t="shared" si="75"/>
        <v>3.3558450000000013</v>
      </c>
      <c r="G263" s="117">
        <f t="shared" si="81"/>
        <v>2.6637999999999988</v>
      </c>
      <c r="H263" s="117">
        <f t="shared" si="76"/>
        <v>2.6384999999999996</v>
      </c>
      <c r="I263" s="116">
        <f>IF($B$7=constants!$C$60,G263,IF($B$8=constants!$C$60,C263,E263))</f>
        <v>2.4206799999999964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2.4206799999999964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2.4232755555555467</v>
      </c>
      <c r="P263" s="126">
        <f t="shared" si="57"/>
        <v>2.4032755555555467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25">
      <c r="A264" s="3">
        <f t="shared" si="56"/>
        <v>1</v>
      </c>
      <c r="B264" s="113">
        <f t="shared" si="62"/>
        <v>1.8800000000000014</v>
      </c>
      <c r="C264" s="117">
        <f t="shared" si="79"/>
        <v>2.3973199999999961</v>
      </c>
      <c r="D264" s="117">
        <f t="shared" si="80"/>
        <v>1.764920000000004</v>
      </c>
      <c r="E264" s="117">
        <f t="shared" si="77"/>
        <v>3.3477800000000011</v>
      </c>
      <c r="F264" s="117">
        <f t="shared" si="75"/>
        <v>3.3627800000000012</v>
      </c>
      <c r="G264" s="117">
        <f t="shared" si="81"/>
        <v>2.6606999999999985</v>
      </c>
      <c r="H264" s="117">
        <f t="shared" si="76"/>
        <v>2.6384999999999996</v>
      </c>
      <c r="I264" s="116">
        <f>IF($B$7=constants!$C$60,G264,IF($B$8=constants!$C$60,C264,E264))</f>
        <v>2.3973199999999961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2.3973199999999961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2.3999155555555514</v>
      </c>
      <c r="P264" s="126">
        <f t="shared" si="57"/>
        <v>2.3799155555555513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25">
      <c r="A265" s="3">
        <f t="shared" si="56"/>
        <v>1</v>
      </c>
      <c r="B265" s="113">
        <f t="shared" si="62"/>
        <v>1.8900000000000015</v>
      </c>
      <c r="C265" s="117">
        <f t="shared" si="79"/>
        <v>2.3739599999999967</v>
      </c>
      <c r="D265" s="117">
        <f t="shared" si="80"/>
        <v>1.7942600000000035</v>
      </c>
      <c r="E265" s="117">
        <f t="shared" si="77"/>
        <v>3.354715000000001</v>
      </c>
      <c r="F265" s="117">
        <f t="shared" si="75"/>
        <v>3.3697150000000011</v>
      </c>
      <c r="G265" s="117">
        <f t="shared" si="81"/>
        <v>2.6575999999999986</v>
      </c>
      <c r="H265" s="117">
        <f t="shared" si="76"/>
        <v>2.6384999999999996</v>
      </c>
      <c r="I265" s="116">
        <f>IF($B$7=constants!$C$60,G265,IF($B$8=constants!$C$60,C265,E265))</f>
        <v>2.3739599999999967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2.3739599999999967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2.3765555555555524</v>
      </c>
      <c r="P265" s="126">
        <f t="shared" si="57"/>
        <v>2.3565555555555524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25">
      <c r="A266" s="3">
        <f t="shared" si="56"/>
        <v>1</v>
      </c>
      <c r="B266" s="113">
        <f t="shared" si="62"/>
        <v>1.9000000000000015</v>
      </c>
      <c r="C266" s="117">
        <f t="shared" si="79"/>
        <v>2.3505999999999965</v>
      </c>
      <c r="D266" s="117">
        <f t="shared" si="80"/>
        <v>1.8236000000000039</v>
      </c>
      <c r="E266" s="117">
        <f t="shared" si="77"/>
        <v>3.3616500000000009</v>
      </c>
      <c r="F266" s="117">
        <f t="shared" si="75"/>
        <v>3.376650000000001</v>
      </c>
      <c r="G266" s="117">
        <f t="shared" si="81"/>
        <v>2.6544999999999987</v>
      </c>
      <c r="H266" s="117">
        <f t="shared" si="76"/>
        <v>2.6384999999999996</v>
      </c>
      <c r="I266" s="116">
        <f>IF($B$7=constants!$C$60,G266,IF($B$8=constants!$C$60,C266,E266))</f>
        <v>2.3505999999999965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2.3505999999999965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2.3531955555555522</v>
      </c>
      <c r="P266" s="126">
        <f t="shared" si="57"/>
        <v>2.3331955555555521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25">
      <c r="A267" s="3">
        <f t="shared" si="56"/>
        <v>1</v>
      </c>
      <c r="B267" s="113">
        <f t="shared" si="62"/>
        <v>1.9100000000000015</v>
      </c>
      <c r="C267" s="117">
        <f t="shared" si="79"/>
        <v>2.3272399999999962</v>
      </c>
      <c r="D267" s="117">
        <f t="shared" si="80"/>
        <v>1.8529400000000043</v>
      </c>
      <c r="E267" s="117">
        <f t="shared" si="77"/>
        <v>3.3685850000000013</v>
      </c>
      <c r="F267" s="117">
        <f t="shared" si="75"/>
        <v>3.3835850000000014</v>
      </c>
      <c r="G267" s="117">
        <f t="shared" si="81"/>
        <v>2.6513999999999989</v>
      </c>
      <c r="H267" s="117">
        <f t="shared" si="76"/>
        <v>2.6384999999999996</v>
      </c>
      <c r="I267" s="116">
        <f>IF($B$7=constants!$C$60,G267,IF($B$8=constants!$C$60,C267,E267))</f>
        <v>2.3272399999999962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2.3272399999999962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2.3298355555555519</v>
      </c>
      <c r="P267" s="126">
        <f t="shared" si="57"/>
        <v>2.3098355555555519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25">
      <c r="A268" s="3">
        <f t="shared" si="56"/>
        <v>1</v>
      </c>
      <c r="B268" s="113">
        <f t="shared" si="62"/>
        <v>1.9200000000000015</v>
      </c>
      <c r="C268" s="117">
        <f t="shared" si="79"/>
        <v>2.3038799999999968</v>
      </c>
      <c r="D268" s="117">
        <f t="shared" si="80"/>
        <v>1.8822800000000037</v>
      </c>
      <c r="E268" s="117">
        <f t="shared" si="77"/>
        <v>3.3755200000000012</v>
      </c>
      <c r="F268" s="117">
        <f t="shared" si="75"/>
        <v>3.3905200000000013</v>
      </c>
      <c r="G268" s="117">
        <f t="shared" si="81"/>
        <v>2.6482999999999985</v>
      </c>
      <c r="H268" s="117">
        <f t="shared" si="76"/>
        <v>2.6384999999999996</v>
      </c>
      <c r="I268" s="116">
        <f>IF($B$7=constants!$C$60,G268,IF($B$8=constants!$C$60,C268,E268))</f>
        <v>2.3038799999999968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2.3038799999999968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2.3064755555555525</v>
      </c>
      <c r="P268" s="126">
        <f t="shared" si="57"/>
        <v>2.2864755555555525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25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2.2805199999999965</v>
      </c>
      <c r="D269" s="117">
        <f t="shared" si="80"/>
        <v>1.9116200000000041</v>
      </c>
      <c r="E269" s="117">
        <f t="shared" si="77"/>
        <v>3.3824550000000011</v>
      </c>
      <c r="F269" s="117">
        <f t="shared" si="75"/>
        <v>3.3974550000000012</v>
      </c>
      <c r="G269" s="117">
        <f t="shared" si="81"/>
        <v>2.6451999999999987</v>
      </c>
      <c r="H269" s="117">
        <f t="shared" si="76"/>
        <v>2.6384999999999996</v>
      </c>
      <c r="I269" s="116">
        <f>IF($B$7=constants!$C$60,G269,IF($B$8=constants!$C$60,C269,E269))</f>
        <v>2.2805199999999965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2.2805199999999965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2.2831155555555522</v>
      </c>
      <c r="P269" s="126">
        <f t="shared" ref="P269:P332" si="84">IF(O269=0,0,O269-$P$72)</f>
        <v>2.2631155555555522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25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2.2571599999999963</v>
      </c>
      <c r="D270" s="117">
        <f t="shared" si="80"/>
        <v>1.9409600000000036</v>
      </c>
      <c r="E270" s="117">
        <f t="shared" si="77"/>
        <v>3.389390000000001</v>
      </c>
      <c r="F270" s="117">
        <f t="shared" si="75"/>
        <v>3.4043900000000011</v>
      </c>
      <c r="G270" s="117">
        <f t="shared" si="81"/>
        <v>2.6420999999999988</v>
      </c>
      <c r="H270" s="117">
        <f t="shared" si="76"/>
        <v>2.6384999999999996</v>
      </c>
      <c r="I270" s="116">
        <f>IF($B$7=constants!$C$60,G270,IF($B$8=constants!$C$60,C270,E270))</f>
        <v>2.2571599999999963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2.2571599999999963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2.259755555555552</v>
      </c>
      <c r="P270" s="126">
        <f t="shared" si="84"/>
        <v>2.2397555555555519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25">
      <c r="A271" s="3">
        <f t="shared" si="83"/>
        <v>1</v>
      </c>
      <c r="B271" s="113">
        <f t="shared" si="89"/>
        <v>1.9500000000000015</v>
      </c>
      <c r="C271" s="117">
        <f t="shared" si="79"/>
        <v>2.233799999999996</v>
      </c>
      <c r="D271" s="117">
        <f t="shared" si="80"/>
        <v>1.9703000000000039</v>
      </c>
      <c r="E271" s="117">
        <f t="shared" si="77"/>
        <v>3.3963250000000009</v>
      </c>
      <c r="F271" s="117">
        <f t="shared" si="75"/>
        <v>3.4113250000000011</v>
      </c>
      <c r="G271" s="117">
        <f t="shared" si="81"/>
        <v>2.6389999999999985</v>
      </c>
      <c r="H271" s="117">
        <f t="shared" si="76"/>
        <v>2.6384999999999996</v>
      </c>
      <c r="I271" s="116">
        <f>IF($B$7=constants!$C$60,G271,IF($B$8=constants!$C$60,C271,E271))</f>
        <v>2.233799999999996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2.233799999999996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2.2363955555555517</v>
      </c>
      <c r="P271" s="126">
        <f t="shared" si="84"/>
        <v>2.2163955555555517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25">
      <c r="A272" s="3">
        <f t="shared" si="83"/>
        <v>1</v>
      </c>
      <c r="B272" s="113">
        <f t="shared" si="89"/>
        <v>1.9600000000000015</v>
      </c>
      <c r="C272" s="117">
        <f t="shared" si="79"/>
        <v>2.2104399999999966</v>
      </c>
      <c r="D272" s="117">
        <f t="shared" si="80"/>
        <v>1.9996400000000043</v>
      </c>
      <c r="E272" s="117">
        <f t="shared" si="77"/>
        <v>3.4032600000000013</v>
      </c>
      <c r="F272" s="117">
        <f t="shared" si="75"/>
        <v>3.4182600000000014</v>
      </c>
      <c r="G272" s="117">
        <f t="shared" si="81"/>
        <v>2.6358999999999986</v>
      </c>
      <c r="H272" s="117">
        <f t="shared" si="76"/>
        <v>2.6384999999999996</v>
      </c>
      <c r="I272" s="116">
        <f>IF($B$7=constants!$C$60,G272,IF($B$8=constants!$C$60,C272,E272))</f>
        <v>2.2104399999999966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2.2104399999999966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2.2130355555555523</v>
      </c>
      <c r="P272" s="126">
        <f t="shared" si="84"/>
        <v>2.1930355555555523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25">
      <c r="A273" s="3">
        <f t="shared" si="83"/>
        <v>1</v>
      </c>
      <c r="B273" s="113">
        <f t="shared" si="89"/>
        <v>1.9700000000000015</v>
      </c>
      <c r="C273" s="117">
        <f t="shared" si="79"/>
        <v>2.1870799999999964</v>
      </c>
      <c r="D273" s="117">
        <f t="shared" si="80"/>
        <v>2.0289800000000038</v>
      </c>
      <c r="E273" s="117">
        <f t="shared" si="77"/>
        <v>3.4101950000000012</v>
      </c>
      <c r="F273" s="117">
        <f t="shared" ref="F273:F304" si="95">E273+$F$74</f>
        <v>3.4251950000000013</v>
      </c>
      <c r="G273" s="117">
        <f t="shared" si="81"/>
        <v>2.6327999999999987</v>
      </c>
      <c r="H273" s="117">
        <f t="shared" si="76"/>
        <v>2.6384999999999996</v>
      </c>
      <c r="I273" s="116">
        <f>IF($B$7=constants!$C$60,G273,IF($B$8=constants!$C$60,C273,E273))</f>
        <v>2.1870799999999964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2.1870799999999964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2.189675555555552</v>
      </c>
      <c r="P273" s="126">
        <f t="shared" si="84"/>
        <v>2.169675555555552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25">
      <c r="A274" s="3">
        <f t="shared" si="83"/>
        <v>1</v>
      </c>
      <c r="B274" s="113">
        <f t="shared" si="89"/>
        <v>1.9800000000000015</v>
      </c>
      <c r="C274" s="117">
        <f t="shared" si="79"/>
        <v>2.1637199999999961</v>
      </c>
      <c r="D274" s="117">
        <f t="shared" si="80"/>
        <v>2.0583200000000041</v>
      </c>
      <c r="E274" s="117">
        <f t="shared" si="77"/>
        <v>3.4171300000000011</v>
      </c>
      <c r="F274" s="117">
        <f t="shared" si="95"/>
        <v>3.4321300000000012</v>
      </c>
      <c r="G274" s="117">
        <f t="shared" si="81"/>
        <v>2.6296999999999988</v>
      </c>
      <c r="H274" s="117">
        <f t="shared" si="76"/>
        <v>2.6384999999999996</v>
      </c>
      <c r="I274" s="116">
        <f>IF($B$7=constants!$C$60,G274,IF($B$8=constants!$C$60,C274,E274))</f>
        <v>2.1637199999999961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2.1637199999999961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2.1663155555555518</v>
      </c>
      <c r="P274" s="126">
        <f t="shared" si="84"/>
        <v>2.1463155555555518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25">
      <c r="A275" s="3">
        <f t="shared" si="83"/>
        <v>1</v>
      </c>
      <c r="B275" s="113">
        <f t="shared" si="89"/>
        <v>1.9900000000000015</v>
      </c>
      <c r="C275" s="117">
        <f t="shared" si="79"/>
        <v>2.1403599999999967</v>
      </c>
      <c r="D275" s="117">
        <f t="shared" si="80"/>
        <v>2.0876600000000045</v>
      </c>
      <c r="E275" s="117">
        <f t="shared" si="77"/>
        <v>3.424065000000001</v>
      </c>
      <c r="F275" s="117">
        <f t="shared" si="95"/>
        <v>3.4390650000000011</v>
      </c>
      <c r="G275" s="117">
        <f t="shared" si="81"/>
        <v>2.6265999999999985</v>
      </c>
      <c r="H275" s="117">
        <f t="shared" si="76"/>
        <v>2.6384999999999996</v>
      </c>
      <c r="I275" s="116">
        <f>IF($B$7=constants!$C$60,G275,IF($B$8=constants!$C$60,C275,E275))</f>
        <v>2.1403599999999967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2.1403599999999967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2.1429555555555524</v>
      </c>
      <c r="P275" s="126">
        <f t="shared" si="84"/>
        <v>2.1229555555555524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25">
      <c r="A276" s="3">
        <f t="shared" si="83"/>
        <v>1</v>
      </c>
      <c r="B276" s="113">
        <f t="shared" si="89"/>
        <v>2.0000000000000013</v>
      </c>
      <c r="C276" s="117">
        <f>$D$29*B276+$D$30</f>
        <v>2.117000000000008</v>
      </c>
      <c r="D276" s="117">
        <f t="shared" si="80"/>
        <v>2.1170000000000031</v>
      </c>
      <c r="E276" s="117">
        <f>$K$15*$B276+$K$16</f>
        <v>3.431</v>
      </c>
      <c r="F276" s="117">
        <f t="shared" si="95"/>
        <v>3.4460000000000002</v>
      </c>
      <c r="G276" s="117">
        <f t="shared" si="81"/>
        <v>2.6234999999999986</v>
      </c>
      <c r="H276" s="117">
        <f t="shared" ref="H276:H307" si="96">$H$63*B276+$H$64</f>
        <v>2.6384999999999996</v>
      </c>
      <c r="I276" s="116">
        <f>IF($B$7=constants!$C$60,G276,IF($B$8=constants!$C$60,C276,E276))</f>
        <v>2.117000000000008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2.117000000000008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2.1195955555555623</v>
      </c>
      <c r="P276" s="126">
        <f t="shared" si="84"/>
        <v>2.0995955555555623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25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2.1695600000000059</v>
      </c>
      <c r="D277" s="117">
        <f t="shared" ref="D277:D308" si="98">C277+$D$74</f>
        <v>2.1845600000000061</v>
      </c>
      <c r="E277" s="117">
        <f t="shared" ref="E277:E325" si="99">$K$15*$B277+$K$16</f>
        <v>3.4295399999999998</v>
      </c>
      <c r="F277" s="117">
        <f t="shared" si="95"/>
        <v>3.4445399999999999</v>
      </c>
      <c r="G277" s="117">
        <f>(H277-$H$74)/(1-EXP(-1/G$74))*(1-EXP(-$B277/G$74))</f>
        <v>2.6224999999999992</v>
      </c>
      <c r="H277" s="117">
        <f t="shared" si="96"/>
        <v>2.6374999999999993</v>
      </c>
      <c r="I277" s="116">
        <f>IF($B$7=constants!$C$60,G277,IF($B$8=constants!$C$60,C277,E277))</f>
        <v>2.1695600000000059</v>
      </c>
      <c r="J277" s="116">
        <f>IF($B$7=constants!$C$60,H277,IF($B$8=constants!$C$60,D277,F277))</f>
        <v>2.1845600000000061</v>
      </c>
      <c r="K277" s="121">
        <f t="shared" si="90"/>
        <v>1</v>
      </c>
      <c r="L277" s="10">
        <f t="shared" si="73"/>
        <v>2.1695600000000059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2.1645635555555618</v>
      </c>
      <c r="P277" s="126">
        <f t="shared" si="84"/>
        <v>2.1445635555555618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25">
      <c r="A278" s="3">
        <f t="shared" si="83"/>
        <v>1</v>
      </c>
      <c r="B278" s="113">
        <f t="shared" si="89"/>
        <v>2.0200000000000009</v>
      </c>
      <c r="C278" s="117">
        <f t="shared" si="97"/>
        <v>2.2221200000000056</v>
      </c>
      <c r="D278" s="117">
        <f t="shared" si="98"/>
        <v>2.2371200000000058</v>
      </c>
      <c r="E278" s="117">
        <f t="shared" si="99"/>
        <v>3.42808</v>
      </c>
      <c r="F278" s="117">
        <f t="shared" si="95"/>
        <v>3.4430800000000001</v>
      </c>
      <c r="G278" s="117">
        <f t="shared" ref="G278:G341" si="100">(H278-$H$74)/(1-EXP(-1/G$74))*(1-EXP(-$B278/G$74))</f>
        <v>2.6214999999999993</v>
      </c>
      <c r="H278" s="117">
        <f t="shared" si="96"/>
        <v>2.6364999999999994</v>
      </c>
      <c r="I278" s="116">
        <f>IF($B$7=constants!$C$60,G278,IF($B$8=constants!$C$60,C278,E278))</f>
        <v>2.2221200000000056</v>
      </c>
      <c r="J278" s="116">
        <f>IF($B$7=constants!$C$60,H278,IF($B$8=constants!$C$60,D278,F278))</f>
        <v>2.2371200000000058</v>
      </c>
      <c r="K278" s="121">
        <f t="shared" si="90"/>
        <v>1</v>
      </c>
      <c r="L278" s="10">
        <f t="shared" si="73"/>
        <v>2.2221200000000056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2.2163643555555614</v>
      </c>
      <c r="P278" s="126">
        <f t="shared" si="84"/>
        <v>2.1963643555555614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25">
      <c r="A279" s="3">
        <f t="shared" si="83"/>
        <v>1</v>
      </c>
      <c r="B279" s="113">
        <f t="shared" si="89"/>
        <v>2.0300000000000007</v>
      </c>
      <c r="C279" s="117">
        <f t="shared" si="97"/>
        <v>2.2746800000000036</v>
      </c>
      <c r="D279" s="117">
        <f t="shared" si="98"/>
        <v>2.2896800000000037</v>
      </c>
      <c r="E279" s="117">
        <f t="shared" si="99"/>
        <v>3.4266199999999998</v>
      </c>
      <c r="F279" s="117">
        <f t="shared" si="95"/>
        <v>3.4416199999999999</v>
      </c>
      <c r="G279" s="117">
        <f t="shared" si="100"/>
        <v>2.6204999999999994</v>
      </c>
      <c r="H279" s="117">
        <f t="shared" si="96"/>
        <v>2.6354999999999995</v>
      </c>
      <c r="I279" s="116">
        <f>IF($B$7=constants!$C$60,G279,IF($B$8=constants!$C$60,C279,E279))</f>
        <v>2.2746800000000036</v>
      </c>
      <c r="J279" s="116">
        <f>IF($B$7=constants!$C$60,H279,IF($B$8=constants!$C$60,D279,F279))</f>
        <v>2.2896800000000037</v>
      </c>
      <c r="K279" s="121">
        <f t="shared" si="90"/>
        <v>1</v>
      </c>
      <c r="L279" s="10">
        <f t="shared" si="73"/>
        <v>2.2746800000000036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2.2688484355555594</v>
      </c>
      <c r="P279" s="126">
        <f t="shared" si="84"/>
        <v>2.2488484355555594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25">
      <c r="A280" s="3">
        <f t="shared" si="83"/>
        <v>1</v>
      </c>
      <c r="B280" s="113">
        <f t="shared" si="89"/>
        <v>2.0400000000000005</v>
      </c>
      <c r="C280" s="117">
        <f t="shared" si="97"/>
        <v>2.3272400000000033</v>
      </c>
      <c r="D280" s="117">
        <f t="shared" si="98"/>
        <v>2.3422400000000034</v>
      </c>
      <c r="E280" s="117">
        <f t="shared" si="99"/>
        <v>3.42516</v>
      </c>
      <c r="F280" s="117">
        <f t="shared" si="95"/>
        <v>3.4401600000000001</v>
      </c>
      <c r="G280" s="117">
        <f t="shared" si="100"/>
        <v>2.6194999999999995</v>
      </c>
      <c r="H280" s="117">
        <f t="shared" si="96"/>
        <v>2.6344999999999996</v>
      </c>
      <c r="I280" s="116">
        <f>IF($B$7=constants!$C$60,G280,IF($B$8=constants!$C$60,C280,E280))</f>
        <v>2.3272400000000033</v>
      </c>
      <c r="J280" s="116">
        <f>IF($B$7=constants!$C$60,H280,IF($B$8=constants!$C$60,D280,F280))</f>
        <v>2.3422400000000034</v>
      </c>
      <c r="K280" s="121">
        <f t="shared" si="90"/>
        <v>1</v>
      </c>
      <c r="L280" s="10">
        <f t="shared" si="73"/>
        <v>2.3272400000000033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2.3214008435555589</v>
      </c>
      <c r="P280" s="126">
        <f t="shared" si="84"/>
        <v>2.3014008435555589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25">
      <c r="A281" s="3">
        <f t="shared" si="83"/>
        <v>1</v>
      </c>
      <c r="B281" s="113">
        <f t="shared" si="89"/>
        <v>2.0500000000000003</v>
      </c>
      <c r="C281" s="117">
        <f t="shared" si="97"/>
        <v>2.379800000000003</v>
      </c>
      <c r="D281" s="117">
        <f t="shared" si="98"/>
        <v>2.3948000000000031</v>
      </c>
      <c r="E281" s="117">
        <f t="shared" si="99"/>
        <v>3.4237000000000002</v>
      </c>
      <c r="F281" s="117">
        <f t="shared" si="95"/>
        <v>3.4387000000000003</v>
      </c>
      <c r="G281" s="117">
        <f t="shared" si="100"/>
        <v>2.6184999999999996</v>
      </c>
      <c r="H281" s="117">
        <f t="shared" si="96"/>
        <v>2.6334999999999997</v>
      </c>
      <c r="I281" s="116">
        <f>IF($B$7=constants!$C$60,G281,IF($B$8=constants!$C$60,C281,E281))</f>
        <v>2.379800000000003</v>
      </c>
      <c r="J281" s="116">
        <f>IF($B$7=constants!$C$60,H281,IF($B$8=constants!$C$60,D281,F281))</f>
        <v>2.3948000000000031</v>
      </c>
      <c r="K281" s="121">
        <f t="shared" si="90"/>
        <v>1</v>
      </c>
      <c r="L281" s="10">
        <f t="shared" si="73"/>
        <v>2.379800000000003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2.3739600843555584</v>
      </c>
      <c r="P281" s="126">
        <f t="shared" si="84"/>
        <v>2.3539600843555584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25">
      <c r="A282" s="3">
        <f t="shared" si="83"/>
        <v>1</v>
      </c>
      <c r="B282" s="113">
        <f t="shared" si="89"/>
        <v>2.06</v>
      </c>
      <c r="C282" s="117">
        <f t="shared" si="97"/>
        <v>2.432360000000001</v>
      </c>
      <c r="D282" s="117">
        <f t="shared" si="98"/>
        <v>2.4473600000000011</v>
      </c>
      <c r="E282" s="117">
        <f t="shared" si="99"/>
        <v>3.4222399999999999</v>
      </c>
      <c r="F282" s="117">
        <f t="shared" si="95"/>
        <v>3.4372400000000001</v>
      </c>
      <c r="G282" s="117">
        <f t="shared" si="100"/>
        <v>2.6174999999999993</v>
      </c>
      <c r="H282" s="117">
        <f t="shared" si="96"/>
        <v>2.6324999999999994</v>
      </c>
      <c r="I282" s="116">
        <f>IF($B$7=constants!$C$60,G282,IF($B$8=constants!$C$60,C282,E282))</f>
        <v>2.432360000000001</v>
      </c>
      <c r="J282" s="116">
        <f>IF($B$7=constants!$C$60,H282,IF($B$8=constants!$C$60,D282,F282))</f>
        <v>2.4473600000000011</v>
      </c>
      <c r="K282" s="121">
        <f t="shared" si="90"/>
        <v>1</v>
      </c>
      <c r="L282" s="10">
        <f t="shared" si="73"/>
        <v>2.432360000000001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2.4265200084355567</v>
      </c>
      <c r="P282" s="126">
        <f t="shared" si="84"/>
        <v>2.4065200084355567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25">
      <c r="A283" s="3">
        <f t="shared" si="83"/>
        <v>1</v>
      </c>
      <c r="B283" s="113">
        <f t="shared" si="89"/>
        <v>2.0699999999999998</v>
      </c>
      <c r="C283" s="117">
        <f t="shared" si="97"/>
        <v>2.4849200000000007</v>
      </c>
      <c r="D283" s="117">
        <f t="shared" si="98"/>
        <v>2.4999200000000008</v>
      </c>
      <c r="E283" s="117">
        <f t="shared" si="99"/>
        <v>3.4207800000000002</v>
      </c>
      <c r="F283" s="117">
        <f t="shared" si="95"/>
        <v>3.4357800000000003</v>
      </c>
      <c r="G283" s="117">
        <f t="shared" si="100"/>
        <v>2.6164999999999994</v>
      </c>
      <c r="H283" s="117">
        <f t="shared" si="96"/>
        <v>2.6314999999999995</v>
      </c>
      <c r="I283" s="116">
        <f>IF($B$7=constants!$C$60,G283,IF($B$8=constants!$C$60,C283,E283))</f>
        <v>2.4849200000000007</v>
      </c>
      <c r="J283" s="116">
        <f>IF($B$7=constants!$C$60,H283,IF($B$8=constants!$C$60,D283,F283))</f>
        <v>2.4999200000000008</v>
      </c>
      <c r="K283" s="121">
        <f t="shared" si="90"/>
        <v>1</v>
      </c>
      <c r="L283" s="10">
        <f t="shared" si="73"/>
        <v>2.4849200000000007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2.4790800008435561</v>
      </c>
      <c r="P283" s="126">
        <f t="shared" si="84"/>
        <v>2.459080000843556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25">
      <c r="A284" s="3">
        <f t="shared" si="83"/>
        <v>1</v>
      </c>
      <c r="B284" s="113">
        <f t="shared" si="89"/>
        <v>2.0799999999999996</v>
      </c>
      <c r="C284" s="117">
        <f t="shared" si="97"/>
        <v>2.5374799999999986</v>
      </c>
      <c r="D284" s="117">
        <f t="shared" si="98"/>
        <v>2.5524799999999987</v>
      </c>
      <c r="E284" s="117">
        <f t="shared" si="99"/>
        <v>3.4193199999999999</v>
      </c>
      <c r="F284" s="117">
        <f t="shared" si="95"/>
        <v>3.43432</v>
      </c>
      <c r="G284" s="117">
        <f t="shared" si="100"/>
        <v>2.6154999999999995</v>
      </c>
      <c r="H284" s="117">
        <f t="shared" si="96"/>
        <v>2.6304999999999996</v>
      </c>
      <c r="I284" s="116">
        <f>IF($B$7=constants!$C$60,G284,IF($B$8=constants!$C$60,C284,E284))</f>
        <v>2.5374799999999986</v>
      </c>
      <c r="J284" s="116">
        <f>IF($B$7=constants!$C$60,H284,IF($B$8=constants!$C$60,D284,F284))</f>
        <v>2.5524799999999987</v>
      </c>
      <c r="K284" s="121">
        <f t="shared" si="90"/>
        <v>1</v>
      </c>
      <c r="L284" s="10">
        <f t="shared" si="73"/>
        <v>2.5374799999999986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2.5316400000843542</v>
      </c>
      <c r="P284" s="126">
        <f t="shared" si="84"/>
        <v>2.5116400000843542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25">
      <c r="A285" s="3">
        <f t="shared" si="83"/>
        <v>1</v>
      </c>
      <c r="B285" s="113">
        <f t="shared" si="89"/>
        <v>2.0899999999999994</v>
      </c>
      <c r="C285" s="117">
        <f t="shared" si="97"/>
        <v>2.5900399999999983</v>
      </c>
      <c r="D285" s="117">
        <f t="shared" si="98"/>
        <v>2.6050399999999985</v>
      </c>
      <c r="E285" s="117">
        <f t="shared" si="99"/>
        <v>3.4178600000000001</v>
      </c>
      <c r="F285" s="117">
        <f t="shared" si="95"/>
        <v>3.4328600000000002</v>
      </c>
      <c r="G285" s="117">
        <f t="shared" si="100"/>
        <v>2.6144999999999996</v>
      </c>
      <c r="H285" s="117">
        <f t="shared" si="96"/>
        <v>2.6294999999999997</v>
      </c>
      <c r="I285" s="116">
        <f>IF($B$7=constants!$C$60,G285,IF($B$8=constants!$C$60,C285,E285))</f>
        <v>2.5900399999999983</v>
      </c>
      <c r="J285" s="116">
        <f>IF($B$7=constants!$C$60,H285,IF($B$8=constants!$C$60,D285,F285))</f>
        <v>2.6050399999999985</v>
      </c>
      <c r="K285" s="121">
        <f t="shared" si="90"/>
        <v>1</v>
      </c>
      <c r="L285" s="10">
        <f t="shared" si="73"/>
        <v>2.5900399999999983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2.5842000000084338</v>
      </c>
      <c r="P285" s="126">
        <f t="shared" si="84"/>
        <v>2.5642000000084337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25">
      <c r="A286" s="3">
        <f t="shared" si="83"/>
        <v>1</v>
      </c>
      <c r="B286" s="113">
        <f t="shared" si="89"/>
        <v>2.0999999999999992</v>
      </c>
      <c r="C286" s="117">
        <f t="shared" si="97"/>
        <v>2.6425999999999963</v>
      </c>
      <c r="D286" s="117">
        <f t="shared" si="98"/>
        <v>2.6575999999999964</v>
      </c>
      <c r="E286" s="117">
        <f t="shared" si="99"/>
        <v>3.4164000000000003</v>
      </c>
      <c r="F286" s="117">
        <f t="shared" si="95"/>
        <v>3.4314000000000004</v>
      </c>
      <c r="G286" s="117">
        <f t="shared" si="100"/>
        <v>2.6134999999999997</v>
      </c>
      <c r="H286" s="117">
        <f t="shared" si="96"/>
        <v>2.6284999999999998</v>
      </c>
      <c r="I286" s="116">
        <f>IF($B$7=constants!$C$60,G286,IF($B$8=constants!$C$60,C286,E286))</f>
        <v>2.6425999999999963</v>
      </c>
      <c r="J286" s="116">
        <f>IF($B$7=constants!$C$60,H286,IF($B$8=constants!$C$60,D286,F286))</f>
        <v>2.6575999999999964</v>
      </c>
      <c r="K286" s="121">
        <f t="shared" si="90"/>
        <v>1</v>
      </c>
      <c r="L286" s="10">
        <f t="shared" si="73"/>
        <v>2.6425999999999963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2.63676000000084</v>
      </c>
      <c r="P286" s="126">
        <f t="shared" si="84"/>
        <v>2.61676000000084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25">
      <c r="A287" s="3">
        <f t="shared" si="83"/>
        <v>1</v>
      </c>
      <c r="B287" s="113">
        <f t="shared" si="89"/>
        <v>2.109999999999999</v>
      </c>
      <c r="C287" s="117">
        <f t="shared" si="97"/>
        <v>2.695159999999996</v>
      </c>
      <c r="D287" s="117">
        <f t="shared" si="98"/>
        <v>2.7101599999999961</v>
      </c>
      <c r="E287" s="117">
        <f t="shared" si="99"/>
        <v>3.4149400000000001</v>
      </c>
      <c r="F287" s="117">
        <f t="shared" si="95"/>
        <v>3.4299400000000002</v>
      </c>
      <c r="G287" s="117">
        <f t="shared" si="100"/>
        <v>2.6124999999999994</v>
      </c>
      <c r="H287" s="117">
        <f t="shared" si="96"/>
        <v>2.6274999999999995</v>
      </c>
      <c r="I287" s="116">
        <f>IF($B$7=constants!$C$60,G287,IF($B$8=constants!$C$60,C287,E287))</f>
        <v>2.695159999999996</v>
      </c>
      <c r="J287" s="116">
        <f>IF($B$7=constants!$C$60,H287,IF($B$8=constants!$C$60,D287,F287))</f>
        <v>2.7101599999999961</v>
      </c>
      <c r="K287" s="121">
        <f t="shared" si="90"/>
        <v>1</v>
      </c>
      <c r="L287" s="10">
        <f t="shared" si="73"/>
        <v>2.695159999999996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2.6893200000000803</v>
      </c>
      <c r="P287" s="126">
        <f t="shared" si="84"/>
        <v>2.6693200000000803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25">
      <c r="A288" s="3">
        <f t="shared" si="83"/>
        <v>1</v>
      </c>
      <c r="B288" s="113">
        <f t="shared" si="89"/>
        <v>2.1199999999999988</v>
      </c>
      <c r="C288" s="117">
        <f t="shared" si="97"/>
        <v>2.7477199999999939</v>
      </c>
      <c r="D288" s="117">
        <f t="shared" si="98"/>
        <v>2.7627199999999941</v>
      </c>
      <c r="E288" s="117">
        <f t="shared" si="99"/>
        <v>3.4134800000000003</v>
      </c>
      <c r="F288" s="117">
        <f t="shared" si="95"/>
        <v>3.4284800000000004</v>
      </c>
      <c r="G288" s="117">
        <f t="shared" si="100"/>
        <v>2.6114999999999995</v>
      </c>
      <c r="H288" s="117">
        <f t="shared" si="96"/>
        <v>2.6264999999999996</v>
      </c>
      <c r="I288" s="116">
        <f>IF($B$7=constants!$C$60,G288,IF($B$8=constants!$C$60,C288,E288))</f>
        <v>2.7477199999999939</v>
      </c>
      <c r="J288" s="116">
        <f>IF($B$7=constants!$C$60,H288,IF($B$8=constants!$C$60,D288,F288))</f>
        <v>2.7627199999999941</v>
      </c>
      <c r="K288" s="121">
        <f t="shared" si="90"/>
        <v>1</v>
      </c>
      <c r="L288" s="10">
        <f t="shared" si="73"/>
        <v>2.7477199999999939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2.7418800000000028</v>
      </c>
      <c r="P288" s="126">
        <f t="shared" si="84"/>
        <v>2.7218800000000027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25">
      <c r="A289" s="3">
        <f t="shared" si="83"/>
        <v>1</v>
      </c>
      <c r="B289" s="113">
        <f t="shared" si="89"/>
        <v>2.1299999999999986</v>
      </c>
      <c r="C289" s="117">
        <f t="shared" si="97"/>
        <v>2.8002799999999937</v>
      </c>
      <c r="D289" s="117">
        <f t="shared" si="98"/>
        <v>2.8152799999999938</v>
      </c>
      <c r="E289" s="117">
        <f t="shared" si="99"/>
        <v>3.4120200000000001</v>
      </c>
      <c r="F289" s="117">
        <f t="shared" si="95"/>
        <v>3.4270200000000002</v>
      </c>
      <c r="G289" s="117">
        <f t="shared" si="100"/>
        <v>2.6104999999999996</v>
      </c>
      <c r="H289" s="117">
        <f t="shared" si="96"/>
        <v>2.6254999999999997</v>
      </c>
      <c r="I289" s="116">
        <f>IF($B$7=constants!$C$60,G289,IF($B$8=constants!$C$60,C289,E289))</f>
        <v>2.8002799999999937</v>
      </c>
      <c r="J289" s="116">
        <f>IF($B$7=constants!$C$60,H289,IF($B$8=constants!$C$60,D289,F289))</f>
        <v>2.8152799999999938</v>
      </c>
      <c r="K289" s="121">
        <f t="shared" si="90"/>
        <v>1</v>
      </c>
      <c r="L289" s="10">
        <f t="shared" si="73"/>
        <v>2.8002799999999937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2.7944399999999945</v>
      </c>
      <c r="P289" s="126">
        <f t="shared" si="84"/>
        <v>2.7744399999999945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25">
      <c r="A290" s="3">
        <f t="shared" si="83"/>
        <v>1</v>
      </c>
      <c r="B290" s="113">
        <f t="shared" si="89"/>
        <v>2.1399999999999983</v>
      </c>
      <c r="C290" s="117">
        <f t="shared" si="97"/>
        <v>2.8528399999999916</v>
      </c>
      <c r="D290" s="117">
        <f t="shared" si="98"/>
        <v>2.8678399999999917</v>
      </c>
      <c r="E290" s="117">
        <f t="shared" si="99"/>
        <v>3.4105600000000003</v>
      </c>
      <c r="F290" s="117">
        <f t="shared" si="95"/>
        <v>3.4255600000000004</v>
      </c>
      <c r="G290" s="117">
        <f t="shared" si="100"/>
        <v>2.6094999999999997</v>
      </c>
      <c r="H290" s="117">
        <f t="shared" si="96"/>
        <v>2.6244999999999998</v>
      </c>
      <c r="I290" s="116">
        <f>IF($B$7=constants!$C$60,G290,IF($B$8=constants!$C$60,C290,E290))</f>
        <v>2.8528399999999916</v>
      </c>
      <c r="J290" s="116">
        <f>IF($B$7=constants!$C$60,H290,IF($B$8=constants!$C$60,D290,F290))</f>
        <v>2.8678399999999917</v>
      </c>
      <c r="K290" s="121">
        <f t="shared" si="90"/>
        <v>1</v>
      </c>
      <c r="L290" s="10">
        <f t="shared" si="73"/>
        <v>2.8528399999999916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2.846999999999992</v>
      </c>
      <c r="P290" s="126">
        <f t="shared" si="84"/>
        <v>2.826999999999992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25">
      <c r="A291" s="3">
        <f t="shared" si="83"/>
        <v>1</v>
      </c>
      <c r="B291" s="113">
        <f t="shared" si="89"/>
        <v>2.1499999999999981</v>
      </c>
      <c r="C291" s="117">
        <f t="shared" si="97"/>
        <v>2.9053999999999913</v>
      </c>
      <c r="D291" s="117">
        <f t="shared" si="98"/>
        <v>2.9203999999999914</v>
      </c>
      <c r="E291" s="117">
        <f t="shared" si="99"/>
        <v>3.4091000000000005</v>
      </c>
      <c r="F291" s="117">
        <f t="shared" si="95"/>
        <v>3.4241000000000006</v>
      </c>
      <c r="G291" s="117">
        <f t="shared" si="100"/>
        <v>2.6084999999999998</v>
      </c>
      <c r="H291" s="117">
        <f t="shared" si="96"/>
        <v>2.6234999999999999</v>
      </c>
      <c r="I291" s="116">
        <f>IF($B$7=constants!$C$60,G291,IF($B$8=constants!$C$60,C291,E291))</f>
        <v>2.9053999999999913</v>
      </c>
      <c r="J291" s="116">
        <f>IF($B$7=constants!$C$60,H291,IF($B$8=constants!$C$60,D291,F291))</f>
        <v>2.9203999999999914</v>
      </c>
      <c r="K291" s="121">
        <f t="shared" si="90"/>
        <v>1</v>
      </c>
      <c r="L291" s="10">
        <f t="shared" si="73"/>
        <v>2.9053999999999913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2.8995599999999913</v>
      </c>
      <c r="P291" s="126">
        <f t="shared" si="84"/>
        <v>2.8795599999999912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25">
      <c r="A292" s="3">
        <f t="shared" si="83"/>
        <v>1</v>
      </c>
      <c r="B292" s="113">
        <f t="shared" si="89"/>
        <v>2.1599999999999979</v>
      </c>
      <c r="C292" s="117">
        <f t="shared" si="97"/>
        <v>2.9579599999999893</v>
      </c>
      <c r="D292" s="117">
        <f t="shared" si="98"/>
        <v>2.9729599999999894</v>
      </c>
      <c r="E292" s="117">
        <f t="shared" si="99"/>
        <v>3.4076400000000002</v>
      </c>
      <c r="F292" s="117">
        <f t="shared" si="95"/>
        <v>3.4226400000000003</v>
      </c>
      <c r="G292" s="117">
        <f t="shared" si="100"/>
        <v>2.6074999999999995</v>
      </c>
      <c r="H292" s="117">
        <f t="shared" si="96"/>
        <v>2.6224999999999996</v>
      </c>
      <c r="I292" s="116">
        <f>IF($B$7=constants!$C$60,G292,IF($B$8=constants!$C$60,C292,E292))</f>
        <v>2.9579599999999893</v>
      </c>
      <c r="J292" s="116">
        <f>IF($B$7=constants!$C$60,H292,IF($B$8=constants!$C$60,D292,F292))</f>
        <v>2.9729599999999894</v>
      </c>
      <c r="K292" s="121">
        <f t="shared" si="90"/>
        <v>1</v>
      </c>
      <c r="L292" s="10">
        <f t="shared" si="73"/>
        <v>2.9579599999999893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1.6849559999999992</v>
      </c>
      <c r="P292" s="126">
        <f t="shared" si="84"/>
        <v>1.6649559999999992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25">
      <c r="A293" s="3">
        <f t="shared" si="83"/>
        <v>1</v>
      </c>
      <c r="B293" s="113">
        <f t="shared" si="89"/>
        <v>2.1699999999999977</v>
      </c>
      <c r="C293" s="117">
        <f t="shared" si="97"/>
        <v>3.010519999999989</v>
      </c>
      <c r="D293" s="117">
        <f t="shared" si="98"/>
        <v>3.0255199999999891</v>
      </c>
      <c r="E293" s="117">
        <f t="shared" si="99"/>
        <v>3.4061800000000004</v>
      </c>
      <c r="F293" s="117">
        <f t="shared" si="95"/>
        <v>3.4211800000000006</v>
      </c>
      <c r="G293" s="117">
        <f t="shared" si="100"/>
        <v>2.6064999999999996</v>
      </c>
      <c r="H293" s="117">
        <f t="shared" si="96"/>
        <v>2.6214999999999997</v>
      </c>
      <c r="I293" s="116">
        <f>IF($B$7=constants!$C$60,G293,IF($B$8=constants!$C$60,C293,E293))</f>
        <v>3.010519999999989</v>
      </c>
      <c r="J293" s="116">
        <f>IF($B$7=constants!$C$60,H293,IF($B$8=constants!$C$60,D293,F293))</f>
        <v>3.0255199999999891</v>
      </c>
      <c r="K293" s="121">
        <f t="shared" si="90"/>
        <v>1</v>
      </c>
      <c r="L293" s="10">
        <f t="shared" si="73"/>
        <v>3.010519999999989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1.5634956</v>
      </c>
      <c r="P293" s="126">
        <f t="shared" si="84"/>
        <v>1.5434956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25">
      <c r="A294" s="3">
        <f t="shared" si="83"/>
        <v>1</v>
      </c>
      <c r="B294" s="113">
        <f t="shared" si="89"/>
        <v>2.1799999999999975</v>
      </c>
      <c r="C294" s="117">
        <f t="shared" si="97"/>
        <v>3.0630799999999869</v>
      </c>
      <c r="D294" s="117">
        <f t="shared" si="98"/>
        <v>3.078079999999987</v>
      </c>
      <c r="E294" s="117">
        <f t="shared" si="99"/>
        <v>3.4047200000000002</v>
      </c>
      <c r="F294" s="117">
        <f t="shared" si="95"/>
        <v>3.4197200000000003</v>
      </c>
      <c r="G294" s="117">
        <f t="shared" si="100"/>
        <v>2.6054999999999997</v>
      </c>
      <c r="H294" s="117">
        <f t="shared" si="96"/>
        <v>2.6204999999999998</v>
      </c>
      <c r="I294" s="116">
        <f>IF($B$7=constants!$C$60,G294,IF($B$8=constants!$C$60,C294,E294))</f>
        <v>3.0630799999999869</v>
      </c>
      <c r="J294" s="116">
        <f>IF($B$7=constants!$C$60,H294,IF($B$8=constants!$C$60,D294,F294))</f>
        <v>3.078079999999987</v>
      </c>
      <c r="K294" s="121">
        <f t="shared" si="90"/>
        <v>1</v>
      </c>
      <c r="L294" s="10">
        <f t="shared" si="73"/>
        <v>3.0630799999999869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1.55134956</v>
      </c>
      <c r="P294" s="126">
        <f t="shared" si="84"/>
        <v>1.53134956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25">
      <c r="A295" s="3">
        <f t="shared" si="83"/>
        <v>1</v>
      </c>
      <c r="B295" s="113">
        <f t="shared" si="89"/>
        <v>2.1899999999999973</v>
      </c>
      <c r="C295" s="117">
        <f t="shared" si="97"/>
        <v>3.1156399999999866</v>
      </c>
      <c r="D295" s="117">
        <f t="shared" si="98"/>
        <v>3.1306399999999868</v>
      </c>
      <c r="E295" s="117">
        <f t="shared" si="99"/>
        <v>3.4032600000000004</v>
      </c>
      <c r="F295" s="117">
        <f t="shared" si="95"/>
        <v>3.4182600000000005</v>
      </c>
      <c r="G295" s="117">
        <f t="shared" si="100"/>
        <v>2.6044999999999998</v>
      </c>
      <c r="H295" s="117">
        <f t="shared" si="96"/>
        <v>2.6194999999999999</v>
      </c>
      <c r="I295" s="116">
        <f>IF($B$7=constants!$C$60,G295,IF($B$8=constants!$C$60,C295,E295))</f>
        <v>3.1156399999999866</v>
      </c>
      <c r="J295" s="116">
        <f>IF($B$7=constants!$C$60,H295,IF($B$8=constants!$C$60,D295,F295))</f>
        <v>3.1306399999999868</v>
      </c>
      <c r="K295" s="121">
        <f t="shared" si="90"/>
        <v>1</v>
      </c>
      <c r="L295" s="10">
        <f t="shared" si="73"/>
        <v>3.1156399999999866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1.550134956</v>
      </c>
      <c r="P295" s="126">
        <f t="shared" si="84"/>
        <v>1.5301349559999999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25">
      <c r="A296" s="3">
        <f t="shared" si="83"/>
        <v>1</v>
      </c>
      <c r="B296" s="113">
        <f t="shared" si="89"/>
        <v>2.1999999999999971</v>
      </c>
      <c r="C296" s="117">
        <f t="shared" si="97"/>
        <v>3.1681999999999846</v>
      </c>
      <c r="D296" s="117">
        <f t="shared" si="98"/>
        <v>3.1831999999999847</v>
      </c>
      <c r="E296" s="117">
        <f t="shared" si="99"/>
        <v>3.4018000000000006</v>
      </c>
      <c r="F296" s="117">
        <f t="shared" si="95"/>
        <v>3.4168000000000007</v>
      </c>
      <c r="G296" s="117">
        <f t="shared" si="100"/>
        <v>2.6034999999999999</v>
      </c>
      <c r="H296" s="117">
        <f t="shared" si="96"/>
        <v>2.6185</v>
      </c>
      <c r="I296" s="116">
        <f>IF($B$7=constants!$C$60,G296,IF($B$8=constants!$C$60,C296,E296))</f>
        <v>3.1681999999999846</v>
      </c>
      <c r="J296" s="116">
        <f>IF($B$7=constants!$C$60,H296,IF($B$8=constants!$C$60,D296,F296))</f>
        <v>3.1831999999999847</v>
      </c>
      <c r="K296" s="121">
        <f t="shared" si="90"/>
        <v>1</v>
      </c>
      <c r="L296" s="10">
        <f t="shared" si="73"/>
        <v>3.1681999999999846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1.5500134956</v>
      </c>
      <c r="P296" s="126">
        <f t="shared" si="84"/>
        <v>1.5300134956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25">
      <c r="A297" s="3">
        <f t="shared" si="83"/>
        <v>1</v>
      </c>
      <c r="B297" s="113">
        <f t="shared" si="89"/>
        <v>2.2099999999999969</v>
      </c>
      <c r="C297" s="117">
        <f t="shared" si="97"/>
        <v>3.2207599999999843</v>
      </c>
      <c r="D297" s="117">
        <f t="shared" si="98"/>
        <v>3.2357599999999844</v>
      </c>
      <c r="E297" s="117">
        <f t="shared" si="99"/>
        <v>3.4003400000000004</v>
      </c>
      <c r="F297" s="117">
        <f t="shared" si="95"/>
        <v>3.4153400000000005</v>
      </c>
      <c r="G297" s="117">
        <f t="shared" si="100"/>
        <v>2.6024999999999996</v>
      </c>
      <c r="H297" s="117">
        <f t="shared" si="96"/>
        <v>2.6174999999999997</v>
      </c>
      <c r="I297" s="116">
        <f>IF($B$7=constants!$C$60,G297,IF($B$8=constants!$C$60,C297,E297))</f>
        <v>3.2207599999999843</v>
      </c>
      <c r="J297" s="116">
        <f>IF($B$7=constants!$C$60,H297,IF($B$8=constants!$C$60,D297,F297))</f>
        <v>3.2357599999999844</v>
      </c>
      <c r="K297" s="121">
        <f t="shared" si="90"/>
        <v>1</v>
      </c>
      <c r="L297" s="10">
        <f t="shared" si="73"/>
        <v>3.2207599999999843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1.55000134956</v>
      </c>
      <c r="P297" s="126">
        <f t="shared" si="84"/>
        <v>1.53000134956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25">
      <c r="A298" s="3">
        <f t="shared" si="83"/>
        <v>1</v>
      </c>
      <c r="B298" s="113">
        <f t="shared" si="89"/>
        <v>2.2199999999999966</v>
      </c>
      <c r="C298" s="117">
        <f t="shared" si="97"/>
        <v>3.2733199999999822</v>
      </c>
      <c r="D298" s="117">
        <f t="shared" si="98"/>
        <v>3.2883199999999824</v>
      </c>
      <c r="E298" s="117">
        <f t="shared" si="99"/>
        <v>3.3988800000000006</v>
      </c>
      <c r="F298" s="117">
        <f t="shared" si="95"/>
        <v>3.4138800000000007</v>
      </c>
      <c r="G298" s="117">
        <f t="shared" si="100"/>
        <v>2.6014999999999997</v>
      </c>
      <c r="H298" s="117">
        <f t="shared" si="96"/>
        <v>2.6164999999999998</v>
      </c>
      <c r="I298" s="116">
        <f>IF($B$7=constants!$C$60,G298,IF($B$8=constants!$C$60,C298,E298))</f>
        <v>3.2733199999999822</v>
      </c>
      <c r="J298" s="116">
        <f>IF($B$7=constants!$C$60,H298,IF($B$8=constants!$C$60,D298,F298))</f>
        <v>3.2883199999999824</v>
      </c>
      <c r="K298" s="121">
        <f t="shared" si="90"/>
        <v>1</v>
      </c>
      <c r="L298" s="10">
        <f t="shared" si="73"/>
        <v>3.2733199999999822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1.550000134956</v>
      </c>
      <c r="P298" s="126">
        <f t="shared" si="84"/>
        <v>1.530000134956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25">
      <c r="A299" s="3">
        <f t="shared" si="83"/>
        <v>1</v>
      </c>
      <c r="B299" s="113">
        <f t="shared" si="89"/>
        <v>2.2299999999999964</v>
      </c>
      <c r="C299" s="117">
        <f t="shared" si="97"/>
        <v>3.325879999999982</v>
      </c>
      <c r="D299" s="117">
        <f t="shared" si="98"/>
        <v>3.3408799999999821</v>
      </c>
      <c r="E299" s="117">
        <f t="shared" si="99"/>
        <v>3.3974200000000008</v>
      </c>
      <c r="F299" s="117">
        <f t="shared" si="95"/>
        <v>3.4124200000000009</v>
      </c>
      <c r="G299" s="117">
        <f t="shared" si="100"/>
        <v>2.6004999999999998</v>
      </c>
      <c r="H299" s="117">
        <f t="shared" si="96"/>
        <v>2.6154999999999999</v>
      </c>
      <c r="I299" s="116">
        <f>IF($B$7=constants!$C$60,G299,IF($B$8=constants!$C$60,C299,E299))</f>
        <v>3.325879999999982</v>
      </c>
      <c r="J299" s="116">
        <f>IF($B$7=constants!$C$60,H299,IF($B$8=constants!$C$60,D299,F299))</f>
        <v>3.3408799999999821</v>
      </c>
      <c r="K299" s="121">
        <f t="shared" si="90"/>
        <v>1</v>
      </c>
      <c r="L299" s="10">
        <f t="shared" si="73"/>
        <v>3.325879999999982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1.5500000134956</v>
      </c>
      <c r="P299" s="126">
        <f t="shared" si="84"/>
        <v>1.5300000134956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25">
      <c r="A300" s="3">
        <f t="shared" si="83"/>
        <v>1</v>
      </c>
      <c r="B300" s="113">
        <f t="shared" si="89"/>
        <v>2.2399999999999962</v>
      </c>
      <c r="C300" s="117">
        <f t="shared" si="97"/>
        <v>3.3784399999999799</v>
      </c>
      <c r="D300" s="117">
        <f t="shared" si="98"/>
        <v>3.39343999999998</v>
      </c>
      <c r="E300" s="117">
        <f t="shared" si="99"/>
        <v>3.3959600000000005</v>
      </c>
      <c r="F300" s="117">
        <f t="shared" si="95"/>
        <v>3.4109600000000007</v>
      </c>
      <c r="G300" s="117">
        <f t="shared" si="100"/>
        <v>2.5994999999999999</v>
      </c>
      <c r="H300" s="117">
        <f t="shared" si="96"/>
        <v>2.6145</v>
      </c>
      <c r="I300" s="116">
        <f>IF($B$7=constants!$C$60,G300,IF($B$8=constants!$C$60,C300,E300))</f>
        <v>3.3784399999999799</v>
      </c>
      <c r="J300" s="116">
        <f>IF($B$7=constants!$C$60,H300,IF($B$8=constants!$C$60,D300,F300))</f>
        <v>3.39343999999998</v>
      </c>
      <c r="K300" s="121">
        <f t="shared" si="90"/>
        <v>1</v>
      </c>
      <c r="L300" s="10">
        <f t="shared" si="73"/>
        <v>3.3784399999999799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1.5500000013495601</v>
      </c>
      <c r="P300" s="126">
        <f t="shared" si="84"/>
        <v>1.53000000134956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25">
      <c r="A301" s="3">
        <f t="shared" si="83"/>
        <v>1</v>
      </c>
      <c r="B301" s="113">
        <f t="shared" si="89"/>
        <v>2.249999999999996</v>
      </c>
      <c r="C301" s="117">
        <f>$D$33*B301+$D$34</f>
        <v>3.4310000000000009</v>
      </c>
      <c r="D301" s="117">
        <f t="shared" si="98"/>
        <v>3.4460000000000011</v>
      </c>
      <c r="E301" s="117">
        <f t="shared" si="99"/>
        <v>3.3945000000000007</v>
      </c>
      <c r="F301" s="117">
        <f t="shared" si="95"/>
        <v>3.4095000000000009</v>
      </c>
      <c r="G301" s="117">
        <f t="shared" si="100"/>
        <v>2.5985</v>
      </c>
      <c r="H301" s="117">
        <f t="shared" si="96"/>
        <v>2.6135000000000002</v>
      </c>
      <c r="I301" s="116">
        <f>IF($B$7=constants!$C$60,G301,IF($B$8=constants!$C$60,C301,E301))</f>
        <v>3.4310000000000009</v>
      </c>
      <c r="J301" s="116">
        <f>IF($B$7=constants!$C$60,H301,IF($B$8=constants!$C$60,D301,F301))</f>
        <v>3.4460000000000011</v>
      </c>
      <c r="K301" s="121">
        <f t="shared" si="90"/>
        <v>1</v>
      </c>
      <c r="L301" s="10">
        <f t="shared" si="73"/>
        <v>3.4310000000000009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1.5500000001349561</v>
      </c>
      <c r="P301" s="126">
        <f t="shared" si="84"/>
        <v>1.5300000001349561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25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3.4280800000000009</v>
      </c>
      <c r="D302" s="117">
        <f t="shared" si="98"/>
        <v>3.443080000000001</v>
      </c>
      <c r="E302" s="117">
        <f t="shared" si="99"/>
        <v>3.3930400000000005</v>
      </c>
      <c r="F302" s="117">
        <f t="shared" si="95"/>
        <v>3.4080400000000006</v>
      </c>
      <c r="G302" s="117">
        <f t="shared" si="100"/>
        <v>2.5974999999999997</v>
      </c>
      <c r="H302" s="117">
        <f t="shared" si="96"/>
        <v>2.6124999999999998</v>
      </c>
      <c r="I302" s="116">
        <f>IF($B$7=constants!$C$60,G302,IF($B$8=constants!$C$60,C302,E302))</f>
        <v>3.4280800000000009</v>
      </c>
      <c r="J302" s="116">
        <f>IF($B$7=constants!$C$60,H302,IF($B$8=constants!$C$60,D302,F302))</f>
        <v>3.443080000000001</v>
      </c>
      <c r="K302" s="121">
        <f t="shared" si="90"/>
        <v>1</v>
      </c>
      <c r="L302" s="10">
        <f t="shared" si="73"/>
        <v>3.4280800000000009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1.5500000000134957</v>
      </c>
      <c r="P302" s="126">
        <f t="shared" si="84"/>
        <v>1.5300000000134957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25">
      <c r="A303" s="3">
        <f t="shared" si="83"/>
        <v>1</v>
      </c>
      <c r="B303" s="113">
        <f t="shared" si="89"/>
        <v>2.2699999999999956</v>
      </c>
      <c r="C303" s="117">
        <f t="shared" si="102"/>
        <v>3.4251600000000009</v>
      </c>
      <c r="D303" s="117">
        <f t="shared" si="98"/>
        <v>3.440160000000001</v>
      </c>
      <c r="E303" s="117">
        <f t="shared" si="99"/>
        <v>3.3915800000000007</v>
      </c>
      <c r="F303" s="117">
        <f t="shared" si="95"/>
        <v>3.4065800000000008</v>
      </c>
      <c r="G303" s="117">
        <f t="shared" si="100"/>
        <v>2.5964999999999998</v>
      </c>
      <c r="H303" s="117">
        <f t="shared" si="96"/>
        <v>2.6114999999999999</v>
      </c>
      <c r="I303" s="116">
        <f>IF($B$7=constants!$C$60,G303,IF($B$8=constants!$C$60,C303,E303))</f>
        <v>3.4251600000000009</v>
      </c>
      <c r="J303" s="116">
        <f>IF($B$7=constants!$C$60,H303,IF($B$8=constants!$C$60,D303,F303))</f>
        <v>3.440160000000001</v>
      </c>
      <c r="K303" s="121">
        <f t="shared" si="90"/>
        <v>1</v>
      </c>
      <c r="L303" s="10">
        <f t="shared" si="73"/>
        <v>3.4251600000000009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1.5500000000013496</v>
      </c>
      <c r="P303" s="126">
        <f t="shared" si="84"/>
        <v>1.5300000000013496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25">
      <c r="A304" s="3">
        <f t="shared" si="83"/>
        <v>1</v>
      </c>
      <c r="B304" s="113">
        <f t="shared" si="89"/>
        <v>2.2799999999999954</v>
      </c>
      <c r="C304" s="117">
        <f t="shared" si="102"/>
        <v>3.4222400000000008</v>
      </c>
      <c r="D304" s="117">
        <f t="shared" si="98"/>
        <v>3.437240000000001</v>
      </c>
      <c r="E304" s="117">
        <f t="shared" si="99"/>
        <v>3.3901200000000009</v>
      </c>
      <c r="F304" s="117">
        <f t="shared" si="95"/>
        <v>3.405120000000001</v>
      </c>
      <c r="G304" s="117">
        <f t="shared" si="100"/>
        <v>2.5954999999999999</v>
      </c>
      <c r="H304" s="117">
        <f t="shared" si="96"/>
        <v>2.6105</v>
      </c>
      <c r="I304" s="116">
        <f>IF($B$7=constants!$C$60,G304,IF($B$8=constants!$C$60,C304,E304))</f>
        <v>3.4222400000000008</v>
      </c>
      <c r="J304" s="116">
        <f>IF($B$7=constants!$C$60,H304,IF($B$8=constants!$C$60,D304,F304))</f>
        <v>3.437240000000001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3.4222400000000008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1.550000000000135</v>
      </c>
      <c r="P304" s="126">
        <f t="shared" si="84"/>
        <v>1.530000000000135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25">
      <c r="A305" s="3">
        <f t="shared" si="83"/>
        <v>1</v>
      </c>
      <c r="B305" s="113">
        <f t="shared" si="89"/>
        <v>2.2899999999999952</v>
      </c>
      <c r="C305" s="117">
        <f t="shared" si="102"/>
        <v>3.4193200000000008</v>
      </c>
      <c r="D305" s="117">
        <f t="shared" si="98"/>
        <v>3.4343200000000009</v>
      </c>
      <c r="E305" s="117">
        <f t="shared" si="99"/>
        <v>3.3886600000000007</v>
      </c>
      <c r="F305" s="117">
        <f t="shared" ref="F305:F336" si="105">E305+$F$74</f>
        <v>3.4036600000000008</v>
      </c>
      <c r="G305" s="117">
        <f t="shared" si="100"/>
        <v>2.5945</v>
      </c>
      <c r="H305" s="117">
        <f t="shared" si="96"/>
        <v>2.6095000000000002</v>
      </c>
      <c r="I305" s="116">
        <f>IF($B$7=constants!$C$60,G305,IF($B$8=constants!$C$60,C305,E305))</f>
        <v>3.4193200000000008</v>
      </c>
      <c r="J305" s="116">
        <f>IF($B$7=constants!$C$60,H305,IF($B$8=constants!$C$60,D305,F305))</f>
        <v>3.4343200000000009</v>
      </c>
      <c r="K305" s="121">
        <f t="shared" si="90"/>
        <v>1</v>
      </c>
      <c r="L305" s="10">
        <f t="shared" si="103"/>
        <v>3.4193200000000008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1.5500000000000136</v>
      </c>
      <c r="P305" s="126">
        <f t="shared" si="84"/>
        <v>1.5300000000000136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25">
      <c r="A306" s="3">
        <f t="shared" si="83"/>
        <v>1</v>
      </c>
      <c r="B306" s="113">
        <f t="shared" si="89"/>
        <v>2.2999999999999949</v>
      </c>
      <c r="C306" s="117">
        <f t="shared" si="102"/>
        <v>3.4164000000000012</v>
      </c>
      <c r="D306" s="117">
        <f t="shared" si="98"/>
        <v>3.4314000000000013</v>
      </c>
      <c r="E306" s="117">
        <f t="shared" si="99"/>
        <v>3.3872000000000009</v>
      </c>
      <c r="F306" s="117">
        <f t="shared" si="105"/>
        <v>3.402200000000001</v>
      </c>
      <c r="G306" s="117">
        <f t="shared" si="100"/>
        <v>2.5935000000000001</v>
      </c>
      <c r="H306" s="117">
        <f t="shared" si="96"/>
        <v>2.6085000000000003</v>
      </c>
      <c r="I306" s="116">
        <f>IF($B$7=constants!$C$60,G306,IF($B$8=constants!$C$60,C306,E306))</f>
        <v>3.4164000000000012</v>
      </c>
      <c r="J306" s="116">
        <f>IF($B$7=constants!$C$60,H306,IF($B$8=constants!$C$60,D306,F306))</f>
        <v>3.4314000000000013</v>
      </c>
      <c r="K306" s="121">
        <f t="shared" si="90"/>
        <v>1</v>
      </c>
      <c r="L306" s="10">
        <f t="shared" si="103"/>
        <v>3.4164000000000012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1.5500000000000014</v>
      </c>
      <c r="P306" s="126">
        <f t="shared" si="84"/>
        <v>1.5300000000000014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25">
      <c r="A307" s="3">
        <f t="shared" si="83"/>
        <v>1</v>
      </c>
      <c r="B307" s="113">
        <f t="shared" si="89"/>
        <v>2.3099999999999947</v>
      </c>
      <c r="C307" s="117">
        <f t="shared" si="102"/>
        <v>3.4134800000000012</v>
      </c>
      <c r="D307" s="117">
        <f t="shared" si="98"/>
        <v>3.4284800000000013</v>
      </c>
      <c r="E307" s="117">
        <f t="shared" si="99"/>
        <v>3.3857400000000011</v>
      </c>
      <c r="F307" s="117">
        <f t="shared" si="105"/>
        <v>3.4007400000000012</v>
      </c>
      <c r="G307" s="117">
        <f t="shared" si="100"/>
        <v>2.5924999999999998</v>
      </c>
      <c r="H307" s="117">
        <f t="shared" si="96"/>
        <v>2.6074999999999999</v>
      </c>
      <c r="I307" s="116">
        <f>IF($B$7=constants!$C$60,G307,IF($B$8=constants!$C$60,C307,E307))</f>
        <v>3.4134800000000012</v>
      </c>
      <c r="J307" s="116">
        <f>IF($B$7=constants!$C$60,H307,IF($B$8=constants!$C$60,D307,F307))</f>
        <v>3.4284800000000013</v>
      </c>
      <c r="K307" s="121">
        <f t="shared" si="90"/>
        <v>1</v>
      </c>
      <c r="L307" s="10">
        <f t="shared" si="103"/>
        <v>3.4134800000000012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1.5500000000000003</v>
      </c>
      <c r="P307" s="126">
        <f t="shared" si="84"/>
        <v>1.5300000000000002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25">
      <c r="A308" s="3">
        <f t="shared" si="83"/>
        <v>1</v>
      </c>
      <c r="B308" s="113">
        <f t="shared" si="89"/>
        <v>2.3199999999999945</v>
      </c>
      <c r="C308" s="117">
        <f t="shared" si="102"/>
        <v>3.4105600000000011</v>
      </c>
      <c r="D308" s="117">
        <f t="shared" si="98"/>
        <v>3.4255600000000013</v>
      </c>
      <c r="E308" s="117">
        <f t="shared" si="99"/>
        <v>3.3842800000000008</v>
      </c>
      <c r="F308" s="117">
        <f t="shared" si="105"/>
        <v>3.399280000000001</v>
      </c>
      <c r="G308" s="117">
        <f t="shared" si="100"/>
        <v>2.5914999999999999</v>
      </c>
      <c r="H308" s="117">
        <f t="shared" ref="H308:H339" si="107">$H$63*B308+$H$64</f>
        <v>2.6065</v>
      </c>
      <c r="I308" s="116">
        <f>IF($B$7=constants!$C$60,G308,IF($B$8=constants!$C$60,C308,E308))</f>
        <v>3.4105600000000011</v>
      </c>
      <c r="J308" s="116">
        <f>IF($B$7=constants!$C$60,H308,IF($B$8=constants!$C$60,D308,F308))</f>
        <v>3.4255600000000013</v>
      </c>
      <c r="K308" s="121">
        <f t="shared" si="90"/>
        <v>1</v>
      </c>
      <c r="L308" s="10">
        <f t="shared" si="103"/>
        <v>3.4105600000000011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25">
      <c r="A309" s="3">
        <f t="shared" si="83"/>
        <v>1</v>
      </c>
      <c r="B309" s="113">
        <f t="shared" si="89"/>
        <v>2.3299999999999943</v>
      </c>
      <c r="C309" s="117">
        <f t="shared" si="102"/>
        <v>3.4076400000000016</v>
      </c>
      <c r="D309" s="117">
        <f t="shared" ref="D309:D340" si="108">C309+$D$74</f>
        <v>3.4226400000000017</v>
      </c>
      <c r="E309" s="117">
        <f t="shared" si="99"/>
        <v>3.382820000000001</v>
      </c>
      <c r="F309" s="117">
        <f t="shared" si="105"/>
        <v>3.3978200000000012</v>
      </c>
      <c r="G309" s="117">
        <f t="shared" si="100"/>
        <v>2.5905</v>
      </c>
      <c r="H309" s="117">
        <f t="shared" si="107"/>
        <v>2.6055000000000001</v>
      </c>
      <c r="I309" s="116">
        <f>IF($B$7=constants!$C$60,G309,IF($B$8=constants!$C$60,C309,E309))</f>
        <v>3.4076400000000016</v>
      </c>
      <c r="J309" s="116">
        <f>IF($B$7=constants!$C$60,H309,IF($B$8=constants!$C$60,D309,F309))</f>
        <v>3.4226400000000017</v>
      </c>
      <c r="K309" s="121">
        <f t="shared" si="90"/>
        <v>1</v>
      </c>
      <c r="L309" s="10">
        <f t="shared" si="103"/>
        <v>3.4076400000000016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25">
      <c r="A310" s="3">
        <f t="shared" si="83"/>
        <v>1</v>
      </c>
      <c r="B310" s="113">
        <f t="shared" si="89"/>
        <v>2.3399999999999941</v>
      </c>
      <c r="C310" s="117">
        <f t="shared" si="102"/>
        <v>3.4047200000000011</v>
      </c>
      <c r="D310" s="117">
        <f t="shared" si="108"/>
        <v>3.4197200000000012</v>
      </c>
      <c r="E310" s="117">
        <f t="shared" si="99"/>
        <v>3.3813600000000008</v>
      </c>
      <c r="F310" s="117">
        <f t="shared" si="105"/>
        <v>3.3963600000000009</v>
      </c>
      <c r="G310" s="117">
        <f t="shared" si="100"/>
        <v>2.5895000000000001</v>
      </c>
      <c r="H310" s="117">
        <f t="shared" si="107"/>
        <v>2.6045000000000003</v>
      </c>
      <c r="I310" s="116">
        <f>IF($B$7=constants!$C$60,G310,IF($B$8=constants!$C$60,C310,E310))</f>
        <v>3.4047200000000011</v>
      </c>
      <c r="J310" s="116">
        <f>IF($B$7=constants!$C$60,H310,IF($B$8=constants!$C$60,D310,F310))</f>
        <v>3.4197200000000012</v>
      </c>
      <c r="K310" s="121">
        <f t="shared" si="90"/>
        <v>1</v>
      </c>
      <c r="L310" s="10">
        <f t="shared" si="103"/>
        <v>3.4047200000000011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25">
      <c r="A311" s="3">
        <f t="shared" si="83"/>
        <v>1</v>
      </c>
      <c r="B311" s="113">
        <f t="shared" si="89"/>
        <v>2.3499999999999939</v>
      </c>
      <c r="C311" s="117">
        <f t="shared" si="102"/>
        <v>3.4018000000000015</v>
      </c>
      <c r="D311" s="117">
        <f t="shared" si="108"/>
        <v>3.4168000000000016</v>
      </c>
      <c r="E311" s="117">
        <f t="shared" si="99"/>
        <v>3.379900000000001</v>
      </c>
      <c r="F311" s="117">
        <f t="shared" si="105"/>
        <v>3.3949000000000011</v>
      </c>
      <c r="G311" s="117">
        <f t="shared" si="100"/>
        <v>2.5885000000000002</v>
      </c>
      <c r="H311" s="117">
        <f t="shared" si="107"/>
        <v>2.6035000000000004</v>
      </c>
      <c r="I311" s="116">
        <f>IF($B$7=constants!$C$60,G311,IF($B$8=constants!$C$60,C311,E311))</f>
        <v>3.4018000000000015</v>
      </c>
      <c r="J311" s="116">
        <f>IF($B$7=constants!$C$60,H311,IF($B$8=constants!$C$60,D311,F311))</f>
        <v>3.4168000000000016</v>
      </c>
      <c r="K311" s="121">
        <f t="shared" si="90"/>
        <v>1</v>
      </c>
      <c r="L311" s="10">
        <f t="shared" si="103"/>
        <v>3.4018000000000015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25">
      <c r="A312" s="3">
        <f t="shared" si="83"/>
        <v>1</v>
      </c>
      <c r="B312" s="113">
        <f t="shared" si="89"/>
        <v>2.3599999999999937</v>
      </c>
      <c r="C312" s="117">
        <f t="shared" si="102"/>
        <v>3.3988800000000015</v>
      </c>
      <c r="D312" s="117">
        <f t="shared" si="108"/>
        <v>3.4138800000000016</v>
      </c>
      <c r="E312" s="117">
        <f t="shared" si="99"/>
        <v>3.3784400000000012</v>
      </c>
      <c r="F312" s="117">
        <f t="shared" si="105"/>
        <v>3.3934400000000013</v>
      </c>
      <c r="G312" s="117">
        <f t="shared" si="100"/>
        <v>2.5874999999999999</v>
      </c>
      <c r="H312" s="117">
        <f t="shared" si="107"/>
        <v>2.6025</v>
      </c>
      <c r="I312" s="116">
        <f>IF($B$7=constants!$C$60,G312,IF($B$8=constants!$C$60,C312,E312))</f>
        <v>3.3988800000000015</v>
      </c>
      <c r="J312" s="116">
        <f>IF($B$7=constants!$C$60,H312,IF($B$8=constants!$C$60,D312,F312))</f>
        <v>3.4138800000000016</v>
      </c>
      <c r="K312" s="121">
        <f t="shared" si="90"/>
        <v>1</v>
      </c>
      <c r="L312" s="10">
        <f t="shared" si="103"/>
        <v>3.3988800000000015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25">
      <c r="A313" s="3">
        <f t="shared" si="83"/>
        <v>1</v>
      </c>
      <c r="B313" s="113">
        <f t="shared" si="89"/>
        <v>2.3699999999999934</v>
      </c>
      <c r="C313" s="117">
        <f t="shared" si="102"/>
        <v>3.3959600000000014</v>
      </c>
      <c r="D313" s="117">
        <f t="shared" si="108"/>
        <v>3.4109600000000015</v>
      </c>
      <c r="E313" s="117">
        <f t="shared" si="99"/>
        <v>3.376980000000001</v>
      </c>
      <c r="F313" s="117">
        <f t="shared" si="105"/>
        <v>3.3919800000000011</v>
      </c>
      <c r="G313" s="117">
        <f t="shared" si="100"/>
        <v>2.5865</v>
      </c>
      <c r="H313" s="117">
        <f t="shared" si="107"/>
        <v>2.6015000000000001</v>
      </c>
      <c r="I313" s="116">
        <f>IF($B$7=constants!$C$60,G313,IF($B$8=constants!$C$60,C313,E313))</f>
        <v>3.3959600000000014</v>
      </c>
      <c r="J313" s="116">
        <f>IF($B$7=constants!$C$60,H313,IF($B$8=constants!$C$60,D313,F313))</f>
        <v>3.4109600000000015</v>
      </c>
      <c r="K313" s="121">
        <f t="shared" si="90"/>
        <v>1</v>
      </c>
      <c r="L313" s="10">
        <f t="shared" si="103"/>
        <v>3.3959600000000014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25">
      <c r="A314" s="3">
        <f t="shared" si="83"/>
        <v>1</v>
      </c>
      <c r="B314" s="113">
        <f t="shared" si="89"/>
        <v>2.3799999999999932</v>
      </c>
      <c r="C314" s="117">
        <f t="shared" si="102"/>
        <v>3.3930400000000018</v>
      </c>
      <c r="D314" s="117">
        <f t="shared" si="108"/>
        <v>3.408040000000002</v>
      </c>
      <c r="E314" s="117">
        <f t="shared" si="99"/>
        <v>3.3755200000000012</v>
      </c>
      <c r="F314" s="117">
        <f t="shared" si="105"/>
        <v>3.3905200000000013</v>
      </c>
      <c r="G314" s="117">
        <f t="shared" si="100"/>
        <v>2.5855000000000001</v>
      </c>
      <c r="H314" s="117">
        <f t="shared" si="107"/>
        <v>2.6005000000000003</v>
      </c>
      <c r="I314" s="116">
        <f>IF($B$7=constants!$C$60,G314,IF($B$8=constants!$C$60,C314,E314))</f>
        <v>3.3930400000000018</v>
      </c>
      <c r="J314" s="116">
        <f>IF($B$7=constants!$C$60,H314,IF($B$8=constants!$C$60,D314,F314))</f>
        <v>3.408040000000002</v>
      </c>
      <c r="K314" s="121">
        <f t="shared" si="90"/>
        <v>1</v>
      </c>
      <c r="L314" s="10">
        <f t="shared" si="103"/>
        <v>3.3930400000000018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25">
      <c r="A315" s="3">
        <f t="shared" si="83"/>
        <v>1</v>
      </c>
      <c r="B315" s="113">
        <f t="shared" si="89"/>
        <v>2.389999999999993</v>
      </c>
      <c r="C315" s="117">
        <f t="shared" si="102"/>
        <v>3.3901200000000018</v>
      </c>
      <c r="D315" s="117">
        <f t="shared" si="108"/>
        <v>3.4051200000000019</v>
      </c>
      <c r="E315" s="117">
        <f t="shared" si="99"/>
        <v>3.3740600000000009</v>
      </c>
      <c r="F315" s="117">
        <f t="shared" si="105"/>
        <v>3.3890600000000011</v>
      </c>
      <c r="G315" s="117">
        <f t="shared" si="100"/>
        <v>2.5845000000000002</v>
      </c>
      <c r="H315" s="117">
        <f t="shared" si="107"/>
        <v>2.5995000000000004</v>
      </c>
      <c r="I315" s="116">
        <f>IF($B$7=constants!$C$60,G315,IF($B$8=constants!$C$60,C315,E315))</f>
        <v>3.3901200000000018</v>
      </c>
      <c r="J315" s="116">
        <f>IF($B$7=constants!$C$60,H315,IF($B$8=constants!$C$60,D315,F315))</f>
        <v>3.4051200000000019</v>
      </c>
      <c r="K315" s="121">
        <f t="shared" si="90"/>
        <v>1</v>
      </c>
      <c r="L315" s="10">
        <f t="shared" si="103"/>
        <v>3.3901200000000018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25">
      <c r="A316" s="3">
        <f t="shared" si="83"/>
        <v>1</v>
      </c>
      <c r="B316" s="113">
        <f t="shared" si="89"/>
        <v>2.3999999999999928</v>
      </c>
      <c r="C316" s="117">
        <f t="shared" si="102"/>
        <v>3.3872000000000018</v>
      </c>
      <c r="D316" s="117">
        <f t="shared" si="108"/>
        <v>3.4022000000000019</v>
      </c>
      <c r="E316" s="117">
        <f t="shared" si="99"/>
        <v>3.3726000000000012</v>
      </c>
      <c r="F316" s="117">
        <f t="shared" si="105"/>
        <v>3.3876000000000013</v>
      </c>
      <c r="G316" s="117">
        <f t="shared" si="100"/>
        <v>2.5835000000000004</v>
      </c>
      <c r="H316" s="117">
        <f t="shared" si="107"/>
        <v>2.5985000000000005</v>
      </c>
      <c r="I316" s="116">
        <f>IF($B$7=constants!$C$60,G316,IF($B$8=constants!$C$60,C316,E316))</f>
        <v>3.3872000000000018</v>
      </c>
      <c r="J316" s="116">
        <f>IF($B$7=constants!$C$60,H316,IF($B$8=constants!$C$60,D316,F316))</f>
        <v>3.4022000000000019</v>
      </c>
      <c r="K316" s="121">
        <f t="shared" si="90"/>
        <v>1</v>
      </c>
      <c r="L316" s="10">
        <f t="shared" si="103"/>
        <v>3.3872000000000018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25">
      <c r="A317" s="3">
        <f t="shared" si="83"/>
        <v>1</v>
      </c>
      <c r="B317" s="113">
        <f t="shared" si="89"/>
        <v>2.4099999999999926</v>
      </c>
      <c r="C317" s="117">
        <f t="shared" si="102"/>
        <v>3.3842800000000017</v>
      </c>
      <c r="D317" s="117">
        <f t="shared" si="108"/>
        <v>3.3992800000000019</v>
      </c>
      <c r="E317" s="117">
        <f t="shared" si="99"/>
        <v>3.3711400000000014</v>
      </c>
      <c r="F317" s="117">
        <f t="shared" si="105"/>
        <v>3.3861400000000015</v>
      </c>
      <c r="G317" s="117">
        <f t="shared" si="100"/>
        <v>2.5825</v>
      </c>
      <c r="H317" s="117">
        <f t="shared" si="107"/>
        <v>2.5975000000000001</v>
      </c>
      <c r="I317" s="116">
        <f>IF($B$7=constants!$C$60,G317,IF($B$8=constants!$C$60,C317,E317))</f>
        <v>3.3842800000000017</v>
      </c>
      <c r="J317" s="116">
        <f>IF($B$7=constants!$C$60,H317,IF($B$8=constants!$C$60,D317,F317))</f>
        <v>3.3992800000000019</v>
      </c>
      <c r="K317" s="121">
        <f t="shared" si="90"/>
        <v>1</v>
      </c>
      <c r="L317" s="10">
        <f t="shared" si="103"/>
        <v>3.3842800000000017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25">
      <c r="A318" s="3">
        <f t="shared" si="83"/>
        <v>1</v>
      </c>
      <c r="B318" s="113">
        <f t="shared" si="89"/>
        <v>2.4199999999999924</v>
      </c>
      <c r="C318" s="117">
        <f t="shared" si="102"/>
        <v>3.3813600000000017</v>
      </c>
      <c r="D318" s="117">
        <f t="shared" si="108"/>
        <v>3.3963600000000018</v>
      </c>
      <c r="E318" s="117">
        <f t="shared" si="99"/>
        <v>3.3696800000000011</v>
      </c>
      <c r="F318" s="117">
        <f t="shared" si="105"/>
        <v>3.3846800000000012</v>
      </c>
      <c r="G318" s="117">
        <f t="shared" si="100"/>
        <v>2.5815000000000001</v>
      </c>
      <c r="H318" s="117">
        <f t="shared" si="107"/>
        <v>2.5965000000000003</v>
      </c>
      <c r="I318" s="116">
        <f>IF($B$7=constants!$C$60,G318,IF($B$8=constants!$C$60,C318,E318))</f>
        <v>3.3813600000000017</v>
      </c>
      <c r="J318" s="116">
        <f>IF($B$7=constants!$C$60,H318,IF($B$8=constants!$C$60,D318,F318))</f>
        <v>3.3963600000000018</v>
      </c>
      <c r="K318" s="121">
        <f t="shared" si="90"/>
        <v>1</v>
      </c>
      <c r="L318" s="10">
        <f t="shared" si="103"/>
        <v>3.3813600000000017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25">
      <c r="A319" s="3">
        <f t="shared" si="83"/>
        <v>1</v>
      </c>
      <c r="B319" s="113">
        <f t="shared" si="89"/>
        <v>2.4299999999999922</v>
      </c>
      <c r="C319" s="117">
        <f t="shared" si="102"/>
        <v>3.3784400000000021</v>
      </c>
      <c r="D319" s="117">
        <f t="shared" si="108"/>
        <v>3.3934400000000022</v>
      </c>
      <c r="E319" s="117">
        <f t="shared" si="99"/>
        <v>3.3682200000000013</v>
      </c>
      <c r="F319" s="117">
        <f t="shared" si="105"/>
        <v>3.3832200000000014</v>
      </c>
      <c r="G319" s="117">
        <f t="shared" si="100"/>
        <v>2.5805000000000002</v>
      </c>
      <c r="H319" s="117">
        <f t="shared" si="107"/>
        <v>2.5955000000000004</v>
      </c>
      <c r="I319" s="116">
        <f>IF($B$7=constants!$C$60,G319,IF($B$8=constants!$C$60,C319,E319))</f>
        <v>3.3784400000000021</v>
      </c>
      <c r="J319" s="116">
        <f>IF($B$7=constants!$C$60,H319,IF($B$8=constants!$C$60,D319,F319))</f>
        <v>3.3934400000000022</v>
      </c>
      <c r="K319" s="121">
        <f t="shared" si="90"/>
        <v>1</v>
      </c>
      <c r="L319" s="10">
        <f t="shared" si="103"/>
        <v>3.3784400000000021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25">
      <c r="A320" s="3">
        <f t="shared" si="83"/>
        <v>1</v>
      </c>
      <c r="B320" s="113">
        <f t="shared" si="89"/>
        <v>2.439999999999992</v>
      </c>
      <c r="C320" s="117">
        <f t="shared" si="102"/>
        <v>3.3755200000000021</v>
      </c>
      <c r="D320" s="117">
        <f t="shared" si="108"/>
        <v>3.3905200000000022</v>
      </c>
      <c r="E320" s="117">
        <f t="shared" si="99"/>
        <v>3.3667600000000011</v>
      </c>
      <c r="F320" s="117">
        <f t="shared" si="105"/>
        <v>3.3817600000000012</v>
      </c>
      <c r="G320" s="117">
        <f t="shared" si="100"/>
        <v>2.5795000000000003</v>
      </c>
      <c r="H320" s="117">
        <f t="shared" si="107"/>
        <v>2.5945000000000005</v>
      </c>
      <c r="I320" s="116">
        <f>IF($B$7=constants!$C$60,G320,IF($B$8=constants!$C$60,C320,E320))</f>
        <v>3.3755200000000021</v>
      </c>
      <c r="J320" s="116">
        <f>IF($B$7=constants!$C$60,H320,IF($B$8=constants!$C$60,D320,F320))</f>
        <v>3.3905200000000022</v>
      </c>
      <c r="K320" s="121">
        <f t="shared" si="90"/>
        <v>1</v>
      </c>
      <c r="L320" s="10">
        <f t="shared" si="103"/>
        <v>3.3755200000000021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25">
      <c r="A321" s="3">
        <f t="shared" si="83"/>
        <v>1</v>
      </c>
      <c r="B321" s="113">
        <f t="shared" si="89"/>
        <v>2.4499999999999917</v>
      </c>
      <c r="C321" s="117">
        <f t="shared" si="102"/>
        <v>3.372600000000002</v>
      </c>
      <c r="D321" s="117">
        <f t="shared" si="108"/>
        <v>3.3876000000000022</v>
      </c>
      <c r="E321" s="117">
        <f t="shared" si="99"/>
        <v>3.3653000000000013</v>
      </c>
      <c r="F321" s="117">
        <f t="shared" si="105"/>
        <v>3.3803000000000014</v>
      </c>
      <c r="G321" s="117">
        <f t="shared" si="100"/>
        <v>2.5785000000000005</v>
      </c>
      <c r="H321" s="117">
        <f t="shared" si="107"/>
        <v>2.5935000000000006</v>
      </c>
      <c r="I321" s="116">
        <f>IF($B$7=constants!$C$60,G321,IF($B$8=constants!$C$60,C321,E321))</f>
        <v>3.372600000000002</v>
      </c>
      <c r="J321" s="116">
        <f>IF($B$7=constants!$C$60,H321,IF($B$8=constants!$C$60,D321,F321))</f>
        <v>3.3876000000000022</v>
      </c>
      <c r="K321" s="121">
        <f t="shared" si="90"/>
        <v>1</v>
      </c>
      <c r="L321" s="10">
        <f t="shared" si="103"/>
        <v>3.372600000000002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25">
      <c r="A322" s="3">
        <f t="shared" si="83"/>
        <v>1</v>
      </c>
      <c r="B322" s="113">
        <f t="shared" si="89"/>
        <v>2.4599999999999915</v>
      </c>
      <c r="C322" s="117">
        <f t="shared" si="102"/>
        <v>3.369680000000002</v>
      </c>
      <c r="D322" s="117">
        <f t="shared" si="108"/>
        <v>3.3846800000000021</v>
      </c>
      <c r="E322" s="117">
        <f t="shared" si="99"/>
        <v>3.3638400000000015</v>
      </c>
      <c r="F322" s="117">
        <f t="shared" si="105"/>
        <v>3.3788400000000016</v>
      </c>
      <c r="G322" s="117">
        <f t="shared" si="100"/>
        <v>2.5775000000000001</v>
      </c>
      <c r="H322" s="117">
        <f t="shared" si="107"/>
        <v>2.5925000000000002</v>
      </c>
      <c r="I322" s="116">
        <f>IF($B$7=constants!$C$60,G322,IF($B$8=constants!$C$60,C322,E322))</f>
        <v>3.369680000000002</v>
      </c>
      <c r="J322" s="116">
        <f>IF($B$7=constants!$C$60,H322,IF($B$8=constants!$C$60,D322,F322))</f>
        <v>3.3846800000000021</v>
      </c>
      <c r="K322" s="121">
        <f t="shared" si="90"/>
        <v>1</v>
      </c>
      <c r="L322" s="10">
        <f t="shared" si="103"/>
        <v>3.369680000000002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25">
      <c r="A323" s="3">
        <f t="shared" si="83"/>
        <v>1</v>
      </c>
      <c r="B323" s="113">
        <f t="shared" si="89"/>
        <v>2.4699999999999913</v>
      </c>
      <c r="C323" s="117">
        <f t="shared" si="102"/>
        <v>3.366760000000002</v>
      </c>
      <c r="D323" s="117">
        <f t="shared" si="108"/>
        <v>3.3817600000000021</v>
      </c>
      <c r="E323" s="117">
        <f t="shared" si="99"/>
        <v>3.3623800000000013</v>
      </c>
      <c r="F323" s="117">
        <f t="shared" si="105"/>
        <v>3.3773800000000014</v>
      </c>
      <c r="G323" s="117">
        <f t="shared" si="100"/>
        <v>2.5765000000000002</v>
      </c>
      <c r="H323" s="117">
        <f t="shared" si="107"/>
        <v>2.5915000000000004</v>
      </c>
      <c r="I323" s="116">
        <f>IF($B$7=constants!$C$60,G323,IF($B$8=constants!$C$60,C323,E323))</f>
        <v>3.366760000000002</v>
      </c>
      <c r="J323" s="116">
        <f>IF($B$7=constants!$C$60,H323,IF($B$8=constants!$C$60,D323,F323))</f>
        <v>3.3817600000000021</v>
      </c>
      <c r="K323" s="121">
        <f t="shared" si="90"/>
        <v>1</v>
      </c>
      <c r="L323" s="10">
        <f t="shared" si="103"/>
        <v>3.366760000000002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25">
      <c r="A324" s="3">
        <f t="shared" si="83"/>
        <v>1</v>
      </c>
      <c r="B324" s="113">
        <f t="shared" si="89"/>
        <v>2.4799999999999911</v>
      </c>
      <c r="C324" s="117">
        <f t="shared" si="102"/>
        <v>3.3638400000000024</v>
      </c>
      <c r="D324" s="117">
        <f t="shared" si="108"/>
        <v>3.3788400000000025</v>
      </c>
      <c r="E324" s="117">
        <f t="shared" si="99"/>
        <v>3.3609200000000015</v>
      </c>
      <c r="F324" s="117">
        <f t="shared" si="105"/>
        <v>3.3759200000000016</v>
      </c>
      <c r="G324" s="117">
        <f t="shared" si="100"/>
        <v>2.5755000000000003</v>
      </c>
      <c r="H324" s="117">
        <f t="shared" si="107"/>
        <v>2.5905000000000005</v>
      </c>
      <c r="I324" s="116">
        <f>IF($B$7=constants!$C$60,G324,IF($B$8=constants!$C$60,C324,E324))</f>
        <v>3.3638400000000024</v>
      </c>
      <c r="J324" s="116">
        <f>IF($B$7=constants!$C$60,H324,IF($B$8=constants!$C$60,D324,F324))</f>
        <v>3.3788400000000025</v>
      </c>
      <c r="K324" s="121">
        <f t="shared" si="90"/>
        <v>1</v>
      </c>
      <c r="L324" s="10">
        <f t="shared" si="103"/>
        <v>3.3638400000000024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25">
      <c r="A325" s="3">
        <f t="shared" si="83"/>
        <v>1</v>
      </c>
      <c r="B325" s="113">
        <f t="shared" si="89"/>
        <v>2.4899999999999909</v>
      </c>
      <c r="C325" s="117">
        <f t="shared" si="102"/>
        <v>3.3609200000000024</v>
      </c>
      <c r="D325" s="117">
        <f t="shared" si="108"/>
        <v>3.3759200000000025</v>
      </c>
      <c r="E325" s="117">
        <f t="shared" si="99"/>
        <v>3.3594600000000012</v>
      </c>
      <c r="F325" s="117">
        <f t="shared" si="105"/>
        <v>3.3744600000000013</v>
      </c>
      <c r="G325" s="117">
        <f t="shared" si="100"/>
        <v>2.5745000000000005</v>
      </c>
      <c r="H325" s="117">
        <f t="shared" si="107"/>
        <v>2.5895000000000006</v>
      </c>
      <c r="I325" s="116">
        <f>IF($B$7=constants!$C$60,G325,IF($B$8=constants!$C$60,C325,E325))</f>
        <v>3.3609200000000024</v>
      </c>
      <c r="J325" s="116">
        <f>IF($B$7=constants!$C$60,H325,IF($B$8=constants!$C$60,D325,F325))</f>
        <v>3.3759200000000025</v>
      </c>
      <c r="K325" s="121">
        <f t="shared" si="90"/>
        <v>1</v>
      </c>
      <c r="L325" s="10">
        <f t="shared" si="103"/>
        <v>3.3609200000000024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25">
      <c r="A326" s="3">
        <f t="shared" si="83"/>
        <v>1</v>
      </c>
      <c r="B326" s="113">
        <f t="shared" si="89"/>
        <v>2.4999999999999907</v>
      </c>
      <c r="C326" s="117">
        <f>$D$41*B326+$D$42</f>
        <v>3.357999999999997</v>
      </c>
      <c r="D326" s="117">
        <f t="shared" si="108"/>
        <v>3.3729999999999971</v>
      </c>
      <c r="E326" s="117">
        <f>$K$19*$B326+$K$20</f>
        <v>3.3579999999999988</v>
      </c>
      <c r="F326" s="117">
        <f t="shared" si="105"/>
        <v>3.3729999999999989</v>
      </c>
      <c r="G326" s="117">
        <f t="shared" si="100"/>
        <v>2.5735000000000006</v>
      </c>
      <c r="H326" s="117">
        <f t="shared" si="107"/>
        <v>2.5885000000000007</v>
      </c>
      <c r="I326" s="116">
        <f>IF($B$7=constants!$C$60,G326,IF($B$8=constants!$C$60,C326,E326))</f>
        <v>3.357999999999997</v>
      </c>
      <c r="J326" s="116">
        <f>IF($B$7=constants!$C$60,H326,IF($B$8=constants!$C$60,D326,F326))</f>
        <v>3.3729999999999971</v>
      </c>
      <c r="K326" s="121">
        <f t="shared" si="90"/>
        <v>1</v>
      </c>
      <c r="L326" s="10">
        <f t="shared" si="103"/>
        <v>3.357999999999997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25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3.360919999999997</v>
      </c>
      <c r="D327" s="117">
        <f t="shared" si="108"/>
        <v>3.3759199999999971</v>
      </c>
      <c r="E327" s="117">
        <f t="shared" ref="E327:E376" si="111">$K$19*$B327+$K$20</f>
        <v>3.3594599999999986</v>
      </c>
      <c r="F327" s="117">
        <f t="shared" si="105"/>
        <v>3.3744599999999987</v>
      </c>
      <c r="G327" s="117">
        <f t="shared" si="100"/>
        <v>2.5725000000000002</v>
      </c>
      <c r="H327" s="117">
        <f t="shared" si="107"/>
        <v>2.5875000000000004</v>
      </c>
      <c r="I327" s="116">
        <f>IF($B$7=constants!$C$60,G327,IF($B$8=constants!$C$60,C327,E327))</f>
        <v>3.360919999999997</v>
      </c>
      <c r="J327" s="116">
        <f>IF($B$7=constants!$C$60,H327,IF($B$8=constants!$C$60,D327,F327))</f>
        <v>3.3759199999999971</v>
      </c>
      <c r="K327" s="121">
        <f t="shared" si="90"/>
        <v>1</v>
      </c>
      <c r="L327" s="10">
        <f t="shared" si="103"/>
        <v>3.360919999999997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25">
      <c r="A328" s="3">
        <f t="shared" si="83"/>
        <v>1</v>
      </c>
      <c r="B328" s="113">
        <f t="shared" si="89"/>
        <v>2.5199999999999902</v>
      </c>
      <c r="C328" s="117">
        <f t="shared" si="110"/>
        <v>3.3638399999999971</v>
      </c>
      <c r="D328" s="117">
        <f t="shared" si="108"/>
        <v>3.3788399999999972</v>
      </c>
      <c r="E328" s="117">
        <f t="shared" si="111"/>
        <v>3.3609199999999988</v>
      </c>
      <c r="F328" s="117">
        <f t="shared" si="105"/>
        <v>3.3759199999999989</v>
      </c>
      <c r="G328" s="117">
        <f t="shared" si="100"/>
        <v>2.5715000000000003</v>
      </c>
      <c r="H328" s="117">
        <f t="shared" si="107"/>
        <v>2.5865000000000005</v>
      </c>
      <c r="I328" s="116">
        <f>IF($B$7=constants!$C$60,G328,IF($B$8=constants!$C$60,C328,E328))</f>
        <v>3.3638399999999971</v>
      </c>
      <c r="J328" s="116">
        <f>IF($B$7=constants!$C$60,H328,IF($B$8=constants!$C$60,D328,F328))</f>
        <v>3.3788399999999972</v>
      </c>
      <c r="K328" s="121">
        <f t="shared" si="90"/>
        <v>1</v>
      </c>
      <c r="L328" s="10">
        <f t="shared" si="103"/>
        <v>3.3638399999999971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25">
      <c r="A329" s="3">
        <f t="shared" si="83"/>
        <v>1</v>
      </c>
      <c r="B329" s="113">
        <f t="shared" si="89"/>
        <v>2.52999999999999</v>
      </c>
      <c r="C329" s="117">
        <f t="shared" si="110"/>
        <v>3.3667599999999966</v>
      </c>
      <c r="D329" s="117">
        <f t="shared" si="108"/>
        <v>3.3817599999999968</v>
      </c>
      <c r="E329" s="117">
        <f t="shared" si="111"/>
        <v>3.3623799999999986</v>
      </c>
      <c r="F329" s="117">
        <f t="shared" si="105"/>
        <v>3.3773799999999987</v>
      </c>
      <c r="G329" s="117">
        <f t="shared" si="100"/>
        <v>2.5705000000000005</v>
      </c>
      <c r="H329" s="117">
        <f t="shared" si="107"/>
        <v>2.5855000000000006</v>
      </c>
      <c r="I329" s="116">
        <f>IF($B$7=constants!$C$60,G329,IF($B$8=constants!$C$60,C329,E329))</f>
        <v>3.3667599999999966</v>
      </c>
      <c r="J329" s="116">
        <f>IF($B$7=constants!$C$60,H329,IF($B$8=constants!$C$60,D329,F329))</f>
        <v>3.3817599999999968</v>
      </c>
      <c r="K329" s="121">
        <f t="shared" si="90"/>
        <v>1</v>
      </c>
      <c r="L329" s="10">
        <f t="shared" si="103"/>
        <v>3.3667599999999966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25">
      <c r="A330" s="3">
        <f t="shared" si="83"/>
        <v>1</v>
      </c>
      <c r="B330" s="113">
        <f t="shared" si="89"/>
        <v>2.5399999999999898</v>
      </c>
      <c r="C330" s="117">
        <f t="shared" si="110"/>
        <v>3.3696799999999967</v>
      </c>
      <c r="D330" s="117">
        <f t="shared" si="108"/>
        <v>3.3846799999999968</v>
      </c>
      <c r="E330" s="117">
        <f t="shared" si="111"/>
        <v>3.3638399999999988</v>
      </c>
      <c r="F330" s="117">
        <f t="shared" si="105"/>
        <v>3.378839999999999</v>
      </c>
      <c r="G330" s="117">
        <f t="shared" si="100"/>
        <v>2.5695000000000006</v>
      </c>
      <c r="H330" s="117">
        <f t="shared" si="107"/>
        <v>2.5845000000000007</v>
      </c>
      <c r="I330" s="116">
        <f>IF($B$7=constants!$C$60,G330,IF($B$8=constants!$C$60,C330,E330))</f>
        <v>3.3696799999999967</v>
      </c>
      <c r="J330" s="116">
        <f>IF($B$7=constants!$C$60,H330,IF($B$8=constants!$C$60,D330,F330))</f>
        <v>3.3846799999999968</v>
      </c>
      <c r="K330" s="121">
        <f t="shared" si="90"/>
        <v>1</v>
      </c>
      <c r="L330" s="10">
        <f t="shared" si="103"/>
        <v>3.3696799999999967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25">
      <c r="A331" s="3">
        <f t="shared" si="83"/>
        <v>1</v>
      </c>
      <c r="B331" s="113">
        <f t="shared" si="89"/>
        <v>2.5499999999999896</v>
      </c>
      <c r="C331" s="117">
        <f t="shared" si="110"/>
        <v>3.3725999999999967</v>
      </c>
      <c r="D331" s="117">
        <f t="shared" si="108"/>
        <v>3.3875999999999968</v>
      </c>
      <c r="E331" s="117">
        <f t="shared" si="111"/>
        <v>3.3652999999999986</v>
      </c>
      <c r="F331" s="117">
        <f t="shared" si="105"/>
        <v>3.3802999999999988</v>
      </c>
      <c r="G331" s="117">
        <f t="shared" si="100"/>
        <v>2.5685000000000007</v>
      </c>
      <c r="H331" s="117">
        <f t="shared" si="107"/>
        <v>2.5835000000000008</v>
      </c>
      <c r="I331" s="116">
        <f>IF($B$7=constants!$C$60,G331,IF($B$8=constants!$C$60,C331,E331))</f>
        <v>3.3725999999999967</v>
      </c>
      <c r="J331" s="116">
        <f>IF($B$7=constants!$C$60,H331,IF($B$8=constants!$C$60,D331,F331))</f>
        <v>3.3875999999999968</v>
      </c>
      <c r="K331" s="121">
        <f t="shared" si="90"/>
        <v>1</v>
      </c>
      <c r="L331" s="10">
        <f t="shared" si="103"/>
        <v>3.3725999999999967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25">
      <c r="A332" s="3">
        <f t="shared" si="83"/>
        <v>1</v>
      </c>
      <c r="B332" s="113">
        <f t="shared" si="89"/>
        <v>2.5599999999999894</v>
      </c>
      <c r="C332" s="117">
        <f t="shared" si="110"/>
        <v>3.3755199999999963</v>
      </c>
      <c r="D332" s="117">
        <f t="shared" si="108"/>
        <v>3.3905199999999964</v>
      </c>
      <c r="E332" s="117">
        <f t="shared" si="111"/>
        <v>3.3667599999999984</v>
      </c>
      <c r="F332" s="117">
        <f t="shared" si="105"/>
        <v>3.3817599999999985</v>
      </c>
      <c r="G332" s="117">
        <f t="shared" si="100"/>
        <v>2.5675000000000003</v>
      </c>
      <c r="H332" s="117">
        <f t="shared" si="107"/>
        <v>2.5825000000000005</v>
      </c>
      <c r="I332" s="116">
        <f>IF($B$7=constants!$C$60,G332,IF($B$8=constants!$C$60,C332,E332))</f>
        <v>3.3755199999999963</v>
      </c>
      <c r="J332" s="116">
        <f>IF($B$7=constants!$C$60,H332,IF($B$8=constants!$C$60,D332,F332))</f>
        <v>3.3905199999999964</v>
      </c>
      <c r="K332" s="121">
        <f t="shared" si="90"/>
        <v>1</v>
      </c>
      <c r="L332" s="10">
        <f t="shared" si="103"/>
        <v>3.3755199999999963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25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3.3784399999999963</v>
      </c>
      <c r="D333" s="117">
        <f t="shared" si="108"/>
        <v>3.3934399999999965</v>
      </c>
      <c r="E333" s="117">
        <f t="shared" si="111"/>
        <v>3.3682199999999987</v>
      </c>
      <c r="F333" s="117">
        <f t="shared" si="105"/>
        <v>3.3832199999999988</v>
      </c>
      <c r="G333" s="117">
        <f t="shared" si="100"/>
        <v>2.5665000000000004</v>
      </c>
      <c r="H333" s="117">
        <f t="shared" si="107"/>
        <v>2.5815000000000006</v>
      </c>
      <c r="I333" s="116">
        <f>IF($B$7=constants!$C$60,G333,IF($B$8=constants!$C$60,C333,E333))</f>
        <v>3.3784399999999963</v>
      </c>
      <c r="J333" s="116">
        <f>IF($B$7=constants!$C$60,H333,IF($B$8=constants!$C$60,D333,F333))</f>
        <v>3.3934399999999965</v>
      </c>
      <c r="K333" s="121">
        <f t="shared" si="90"/>
        <v>1</v>
      </c>
      <c r="L333" s="10">
        <f t="shared" si="103"/>
        <v>3.3784399999999963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25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3.3813599999999964</v>
      </c>
      <c r="D334" s="117">
        <f t="shared" si="108"/>
        <v>3.3963599999999965</v>
      </c>
      <c r="E334" s="117">
        <f t="shared" si="111"/>
        <v>3.3696799999999985</v>
      </c>
      <c r="F334" s="117">
        <f t="shared" si="105"/>
        <v>3.3846799999999986</v>
      </c>
      <c r="G334" s="117">
        <f t="shared" si="100"/>
        <v>2.5655000000000006</v>
      </c>
      <c r="H334" s="117">
        <f t="shared" si="107"/>
        <v>2.5805000000000007</v>
      </c>
      <c r="I334" s="116">
        <f>IF($B$7=constants!$C$60,G334,IF($B$8=constants!$C$60,C334,E334))</f>
        <v>3.3813599999999964</v>
      </c>
      <c r="J334" s="116">
        <f>IF($B$7=constants!$C$60,H334,IF($B$8=constants!$C$60,D334,F334))</f>
        <v>3.3963599999999965</v>
      </c>
      <c r="K334" s="121">
        <f t="shared" ref="K334:K376" si="119">IF(AND(I334&gt;$B$16,K333=0),1,IF(AND(I334&lt;$B$17,K333=1),0,K333))</f>
        <v>1</v>
      </c>
      <c r="L334" s="10">
        <f t="shared" si="103"/>
        <v>3.3813599999999964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25">
      <c r="A335" s="3">
        <f t="shared" si="112"/>
        <v>1</v>
      </c>
      <c r="B335" s="113">
        <f t="shared" si="118"/>
        <v>2.5899999999999888</v>
      </c>
      <c r="C335" s="117">
        <f t="shared" si="110"/>
        <v>3.3842799999999964</v>
      </c>
      <c r="D335" s="117">
        <f t="shared" si="108"/>
        <v>3.3992799999999965</v>
      </c>
      <c r="E335" s="117">
        <f t="shared" si="111"/>
        <v>3.3711399999999987</v>
      </c>
      <c r="F335" s="117">
        <f t="shared" si="105"/>
        <v>3.3861399999999988</v>
      </c>
      <c r="G335" s="117">
        <f t="shared" si="100"/>
        <v>2.5645000000000007</v>
      </c>
      <c r="H335" s="117">
        <f t="shared" si="107"/>
        <v>2.5795000000000008</v>
      </c>
      <c r="I335" s="116">
        <f>IF($B$7=constants!$C$60,G335,IF($B$8=constants!$C$60,C335,E335))</f>
        <v>3.3842799999999964</v>
      </c>
      <c r="J335" s="116">
        <f>IF($B$7=constants!$C$60,H335,IF($B$8=constants!$C$60,D335,F335))</f>
        <v>3.3992799999999965</v>
      </c>
      <c r="K335" s="121">
        <f t="shared" si="119"/>
        <v>1</v>
      </c>
      <c r="L335" s="10">
        <f t="shared" si="103"/>
        <v>3.3842799999999964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25">
      <c r="A336" s="3">
        <f t="shared" si="112"/>
        <v>1</v>
      </c>
      <c r="B336" s="113">
        <f t="shared" si="118"/>
        <v>2.5999999999999885</v>
      </c>
      <c r="C336" s="117">
        <f t="shared" si="110"/>
        <v>3.3871999999999964</v>
      </c>
      <c r="D336" s="117">
        <f t="shared" si="108"/>
        <v>3.4021999999999966</v>
      </c>
      <c r="E336" s="117">
        <f t="shared" si="111"/>
        <v>3.3725999999999985</v>
      </c>
      <c r="F336" s="117">
        <f t="shared" si="105"/>
        <v>3.3875999999999986</v>
      </c>
      <c r="G336" s="117">
        <f t="shared" si="100"/>
        <v>2.5635000000000008</v>
      </c>
      <c r="H336" s="117">
        <f t="shared" si="107"/>
        <v>2.5785000000000009</v>
      </c>
      <c r="I336" s="116">
        <f>IF($B$7=constants!$C$60,G336,IF($B$8=constants!$C$60,C336,E336))</f>
        <v>3.3871999999999964</v>
      </c>
      <c r="J336" s="116">
        <f>IF($B$7=constants!$C$60,H336,IF($B$8=constants!$C$60,D336,F336))</f>
        <v>3.4021999999999966</v>
      </c>
      <c r="K336" s="121">
        <f t="shared" si="119"/>
        <v>1</v>
      </c>
      <c r="L336" s="10">
        <f t="shared" si="103"/>
        <v>3.3871999999999964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25">
      <c r="A337" s="3">
        <f t="shared" si="112"/>
        <v>1</v>
      </c>
      <c r="B337" s="113">
        <f t="shared" si="118"/>
        <v>2.6099999999999883</v>
      </c>
      <c r="C337" s="117">
        <f t="shared" si="110"/>
        <v>3.390119999999996</v>
      </c>
      <c r="D337" s="117">
        <f t="shared" si="108"/>
        <v>3.4051199999999961</v>
      </c>
      <c r="E337" s="117">
        <f t="shared" si="111"/>
        <v>3.3740599999999983</v>
      </c>
      <c r="F337" s="117">
        <f t="shared" ref="F337:F368" si="124">E337+$F$74</f>
        <v>3.3890599999999984</v>
      </c>
      <c r="G337" s="117">
        <f t="shared" si="100"/>
        <v>2.5625000000000004</v>
      </c>
      <c r="H337" s="117">
        <f t="shared" si="107"/>
        <v>2.5775000000000006</v>
      </c>
      <c r="I337" s="116">
        <f>IF($B$7=constants!$C$60,G337,IF($B$8=constants!$C$60,C337,E337))</f>
        <v>3.390119999999996</v>
      </c>
      <c r="J337" s="116">
        <f>IF($B$7=constants!$C$60,H337,IF($B$8=constants!$C$60,D337,F337))</f>
        <v>3.4051199999999961</v>
      </c>
      <c r="K337" s="121">
        <f t="shared" si="119"/>
        <v>1</v>
      </c>
      <c r="L337" s="10">
        <f t="shared" si="103"/>
        <v>3.390119999999996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25">
      <c r="A338" s="3">
        <f t="shared" si="112"/>
        <v>1</v>
      </c>
      <c r="B338" s="113">
        <f t="shared" si="118"/>
        <v>2.6199999999999881</v>
      </c>
      <c r="C338" s="117">
        <f t="shared" si="110"/>
        <v>3.3930399999999961</v>
      </c>
      <c r="D338" s="117">
        <f t="shared" si="108"/>
        <v>3.4080399999999962</v>
      </c>
      <c r="E338" s="117">
        <f t="shared" si="111"/>
        <v>3.3755199999999985</v>
      </c>
      <c r="F338" s="117">
        <f t="shared" si="124"/>
        <v>3.3905199999999986</v>
      </c>
      <c r="G338" s="117">
        <f t="shared" si="100"/>
        <v>2.5615000000000006</v>
      </c>
      <c r="H338" s="117">
        <f t="shared" si="107"/>
        <v>2.5765000000000007</v>
      </c>
      <c r="I338" s="116">
        <f>IF($B$7=constants!$C$60,G338,IF($B$8=constants!$C$60,C338,E338))</f>
        <v>3.3930399999999961</v>
      </c>
      <c r="J338" s="116">
        <f>IF($B$7=constants!$C$60,H338,IF($B$8=constants!$C$60,D338,F338))</f>
        <v>3.4080399999999962</v>
      </c>
      <c r="K338" s="121">
        <f t="shared" si="119"/>
        <v>1</v>
      </c>
      <c r="L338" s="10">
        <f t="shared" si="103"/>
        <v>3.3930399999999961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25">
      <c r="A339" s="3">
        <f t="shared" si="112"/>
        <v>1</v>
      </c>
      <c r="B339" s="113">
        <f t="shared" si="118"/>
        <v>2.6299999999999879</v>
      </c>
      <c r="C339" s="117">
        <f t="shared" si="110"/>
        <v>3.3959599999999961</v>
      </c>
      <c r="D339" s="117">
        <f t="shared" si="108"/>
        <v>3.4109599999999962</v>
      </c>
      <c r="E339" s="117">
        <f t="shared" si="111"/>
        <v>3.3769799999999983</v>
      </c>
      <c r="F339" s="117">
        <f t="shared" si="124"/>
        <v>3.3919799999999984</v>
      </c>
      <c r="G339" s="117">
        <f t="shared" si="100"/>
        <v>2.5605000000000007</v>
      </c>
      <c r="H339" s="117">
        <f t="shared" si="107"/>
        <v>2.5755000000000008</v>
      </c>
      <c r="I339" s="116">
        <f>IF($B$7=constants!$C$60,G339,IF($B$8=constants!$C$60,C339,E339))</f>
        <v>3.3959599999999961</v>
      </c>
      <c r="J339" s="116">
        <f>IF($B$7=constants!$C$60,H339,IF($B$8=constants!$C$60,D339,F339))</f>
        <v>3.4109599999999962</v>
      </c>
      <c r="K339" s="121">
        <f t="shared" si="119"/>
        <v>1</v>
      </c>
      <c r="L339" s="10">
        <f t="shared" si="103"/>
        <v>3.3959599999999961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25">
      <c r="A340" s="3">
        <f t="shared" si="112"/>
        <v>1</v>
      </c>
      <c r="B340" s="113">
        <f t="shared" si="118"/>
        <v>2.6399999999999877</v>
      </c>
      <c r="C340" s="117">
        <f t="shared" si="110"/>
        <v>3.3988799999999961</v>
      </c>
      <c r="D340" s="117">
        <f t="shared" si="108"/>
        <v>3.4138799999999963</v>
      </c>
      <c r="E340" s="117">
        <f t="shared" si="111"/>
        <v>3.3784399999999981</v>
      </c>
      <c r="F340" s="117">
        <f t="shared" si="124"/>
        <v>3.3934399999999982</v>
      </c>
      <c r="G340" s="117">
        <f t="shared" si="100"/>
        <v>2.5595000000000008</v>
      </c>
      <c r="H340" s="117">
        <f t="shared" ref="H340:H376" si="125">$H$63*B340+$H$64</f>
        <v>2.5745000000000009</v>
      </c>
      <c r="I340" s="116">
        <f>IF($B$7=constants!$C$60,G340,IF($B$8=constants!$C$60,C340,E340))</f>
        <v>3.3988799999999961</v>
      </c>
      <c r="J340" s="116">
        <f>IF($B$7=constants!$C$60,H340,IF($B$8=constants!$C$60,D340,F340))</f>
        <v>3.4138799999999963</v>
      </c>
      <c r="K340" s="121">
        <f t="shared" si="119"/>
        <v>1</v>
      </c>
      <c r="L340" s="10">
        <f t="shared" si="103"/>
        <v>3.3988799999999961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25">
      <c r="A341" s="3">
        <f t="shared" si="112"/>
        <v>1</v>
      </c>
      <c r="B341" s="113">
        <f t="shared" si="118"/>
        <v>2.6499999999999875</v>
      </c>
      <c r="C341" s="117">
        <f t="shared" si="110"/>
        <v>3.4017999999999962</v>
      </c>
      <c r="D341" s="117">
        <f t="shared" ref="D341:D372" si="126">C341+$D$74</f>
        <v>3.4167999999999963</v>
      </c>
      <c r="E341" s="117">
        <f t="shared" si="111"/>
        <v>3.3798999999999984</v>
      </c>
      <c r="F341" s="117">
        <f t="shared" si="124"/>
        <v>3.3948999999999985</v>
      </c>
      <c r="G341" s="117">
        <f t="shared" si="100"/>
        <v>2.5585000000000009</v>
      </c>
      <c r="H341" s="117">
        <f t="shared" si="125"/>
        <v>2.573500000000001</v>
      </c>
      <c r="I341" s="116">
        <f>IF($B$7=constants!$C$60,G341,IF($B$8=constants!$C$60,C341,E341))</f>
        <v>3.4017999999999962</v>
      </c>
      <c r="J341" s="116">
        <f>IF($B$7=constants!$C$60,H341,IF($B$8=constants!$C$60,D341,F341))</f>
        <v>3.4167999999999963</v>
      </c>
      <c r="K341" s="121">
        <f t="shared" si="119"/>
        <v>1</v>
      </c>
      <c r="L341" s="10">
        <f t="shared" si="103"/>
        <v>3.4017999999999962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25">
      <c r="A342" s="3">
        <f t="shared" si="112"/>
        <v>1</v>
      </c>
      <c r="B342" s="113">
        <f t="shared" si="118"/>
        <v>2.6599999999999873</v>
      </c>
      <c r="C342" s="117">
        <f t="shared" si="110"/>
        <v>3.4047199999999957</v>
      </c>
      <c r="D342" s="117">
        <f t="shared" si="126"/>
        <v>3.4197199999999959</v>
      </c>
      <c r="E342" s="117">
        <f t="shared" si="111"/>
        <v>3.3813599999999981</v>
      </c>
      <c r="F342" s="117">
        <f t="shared" si="124"/>
        <v>3.3963599999999983</v>
      </c>
      <c r="G342" s="117">
        <f t="shared" ref="G342:G376" si="127">(H342-$H$74)/(1-EXP(-1/G$74))*(1-EXP(-$B342/G$74))</f>
        <v>2.5575000000000006</v>
      </c>
      <c r="H342" s="117">
        <f t="shared" si="125"/>
        <v>2.5725000000000007</v>
      </c>
      <c r="I342" s="116">
        <f>IF($B$7=constants!$C$60,G342,IF($B$8=constants!$C$60,C342,E342))</f>
        <v>3.4047199999999957</v>
      </c>
      <c r="J342" s="116">
        <f>IF($B$7=constants!$C$60,H342,IF($B$8=constants!$C$60,D342,F342))</f>
        <v>3.4197199999999959</v>
      </c>
      <c r="K342" s="121">
        <f t="shared" si="119"/>
        <v>1</v>
      </c>
      <c r="L342" s="10">
        <f t="shared" si="103"/>
        <v>3.4047199999999957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25">
      <c r="A343" s="3">
        <f t="shared" si="112"/>
        <v>1</v>
      </c>
      <c r="B343" s="113">
        <f t="shared" si="118"/>
        <v>2.6699999999999871</v>
      </c>
      <c r="C343" s="117">
        <f t="shared" si="110"/>
        <v>3.4076399999999958</v>
      </c>
      <c r="D343" s="117">
        <f t="shared" si="126"/>
        <v>3.4226399999999959</v>
      </c>
      <c r="E343" s="117">
        <f t="shared" si="111"/>
        <v>3.3828199999999984</v>
      </c>
      <c r="F343" s="117">
        <f t="shared" si="124"/>
        <v>3.3978199999999985</v>
      </c>
      <c r="G343" s="117">
        <f t="shared" si="127"/>
        <v>2.5565000000000007</v>
      </c>
      <c r="H343" s="117">
        <f t="shared" si="125"/>
        <v>2.5715000000000008</v>
      </c>
      <c r="I343" s="116">
        <f>IF($B$7=constants!$C$60,G343,IF($B$8=constants!$C$60,C343,E343))</f>
        <v>3.4076399999999958</v>
      </c>
      <c r="J343" s="116">
        <f>IF($B$7=constants!$C$60,H343,IF($B$8=constants!$C$60,D343,F343))</f>
        <v>3.4226399999999959</v>
      </c>
      <c r="K343" s="121">
        <f t="shared" si="119"/>
        <v>1</v>
      </c>
      <c r="L343" s="10">
        <f t="shared" si="103"/>
        <v>3.4076399999999958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25">
      <c r="A344" s="3">
        <f t="shared" si="112"/>
        <v>1</v>
      </c>
      <c r="B344" s="113">
        <f t="shared" si="118"/>
        <v>2.6799999999999868</v>
      </c>
      <c r="C344" s="117">
        <f t="shared" si="110"/>
        <v>3.4105599999999958</v>
      </c>
      <c r="D344" s="117">
        <f t="shared" si="126"/>
        <v>3.4255599999999959</v>
      </c>
      <c r="E344" s="117">
        <f t="shared" si="111"/>
        <v>3.3842799999999982</v>
      </c>
      <c r="F344" s="117">
        <f t="shared" si="124"/>
        <v>3.3992799999999983</v>
      </c>
      <c r="G344" s="117">
        <f t="shared" si="127"/>
        <v>2.5555000000000008</v>
      </c>
      <c r="H344" s="117">
        <f t="shared" si="125"/>
        <v>2.5705000000000009</v>
      </c>
      <c r="I344" s="116">
        <f>IF($B$7=constants!$C$60,G344,IF($B$8=constants!$C$60,C344,E344))</f>
        <v>3.4105599999999958</v>
      </c>
      <c r="J344" s="116">
        <f>IF($B$7=constants!$C$60,H344,IF($B$8=constants!$C$60,D344,F344))</f>
        <v>3.4255599999999959</v>
      </c>
      <c r="K344" s="121">
        <f t="shared" si="119"/>
        <v>1</v>
      </c>
      <c r="L344" s="10">
        <f t="shared" si="103"/>
        <v>3.4105599999999958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25">
      <c r="A345" s="3">
        <f t="shared" si="112"/>
        <v>1</v>
      </c>
      <c r="B345" s="113">
        <f t="shared" si="118"/>
        <v>2.6899999999999866</v>
      </c>
      <c r="C345" s="117">
        <f t="shared" si="110"/>
        <v>3.4134799999999959</v>
      </c>
      <c r="D345" s="117">
        <f t="shared" si="126"/>
        <v>3.428479999999996</v>
      </c>
      <c r="E345" s="117">
        <f t="shared" si="111"/>
        <v>3.385739999999998</v>
      </c>
      <c r="F345" s="117">
        <f t="shared" si="124"/>
        <v>3.4007399999999981</v>
      </c>
      <c r="G345" s="117">
        <f t="shared" si="127"/>
        <v>2.5545000000000009</v>
      </c>
      <c r="H345" s="117">
        <f t="shared" si="125"/>
        <v>2.569500000000001</v>
      </c>
      <c r="I345" s="116">
        <f>IF($B$7=constants!$C$60,G345,IF($B$8=constants!$C$60,C345,E345))</f>
        <v>3.4134799999999959</v>
      </c>
      <c r="J345" s="116">
        <f>IF($B$7=constants!$C$60,H345,IF($B$8=constants!$C$60,D345,F345))</f>
        <v>3.428479999999996</v>
      </c>
      <c r="K345" s="121">
        <f t="shared" si="119"/>
        <v>1</v>
      </c>
      <c r="L345" s="10">
        <f t="shared" si="103"/>
        <v>3.4134799999999959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25">
      <c r="A346" s="3">
        <f t="shared" si="112"/>
        <v>1</v>
      </c>
      <c r="B346" s="113">
        <f t="shared" si="118"/>
        <v>2.6999999999999864</v>
      </c>
      <c r="C346" s="117">
        <f t="shared" si="110"/>
        <v>3.4163999999999959</v>
      </c>
      <c r="D346" s="117">
        <f t="shared" si="126"/>
        <v>3.431399999999996</v>
      </c>
      <c r="E346" s="117">
        <f t="shared" si="111"/>
        <v>3.3871999999999982</v>
      </c>
      <c r="F346" s="117">
        <f t="shared" si="124"/>
        <v>3.4021999999999983</v>
      </c>
      <c r="G346" s="117">
        <f t="shared" si="127"/>
        <v>2.553500000000001</v>
      </c>
      <c r="H346" s="117">
        <f t="shared" si="125"/>
        <v>2.5685000000000011</v>
      </c>
      <c r="I346" s="116">
        <f>IF($B$7=constants!$C$60,G346,IF($B$8=constants!$C$60,C346,E346))</f>
        <v>3.4163999999999959</v>
      </c>
      <c r="J346" s="116">
        <f>IF($B$7=constants!$C$60,H346,IF($B$8=constants!$C$60,D346,F346))</f>
        <v>3.431399999999996</v>
      </c>
      <c r="K346" s="121">
        <f t="shared" si="119"/>
        <v>1</v>
      </c>
      <c r="L346" s="10">
        <f t="shared" si="103"/>
        <v>3.4163999999999959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25">
      <c r="A347" s="3">
        <f t="shared" si="112"/>
        <v>1</v>
      </c>
      <c r="B347" s="113">
        <f t="shared" si="118"/>
        <v>2.7099999999999862</v>
      </c>
      <c r="C347" s="117">
        <f t="shared" si="110"/>
        <v>3.4193199999999955</v>
      </c>
      <c r="D347" s="117">
        <f t="shared" si="126"/>
        <v>3.4343199999999956</v>
      </c>
      <c r="E347" s="117">
        <f t="shared" si="111"/>
        <v>3.388659999999998</v>
      </c>
      <c r="F347" s="117">
        <f t="shared" si="124"/>
        <v>3.4036599999999981</v>
      </c>
      <c r="G347" s="117">
        <f t="shared" si="127"/>
        <v>2.5525000000000007</v>
      </c>
      <c r="H347" s="117">
        <f t="shared" si="125"/>
        <v>2.5675000000000008</v>
      </c>
      <c r="I347" s="116">
        <f>IF($B$7=constants!$C$60,G347,IF($B$8=constants!$C$60,C347,E347))</f>
        <v>3.4193199999999955</v>
      </c>
      <c r="J347" s="116">
        <f>IF($B$7=constants!$C$60,H347,IF($B$8=constants!$C$60,D347,F347))</f>
        <v>3.4343199999999956</v>
      </c>
      <c r="K347" s="121">
        <f t="shared" si="119"/>
        <v>1</v>
      </c>
      <c r="L347" s="10">
        <f t="shared" si="103"/>
        <v>3.4193199999999955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25">
      <c r="A348" s="3">
        <f t="shared" si="112"/>
        <v>1</v>
      </c>
      <c r="B348" s="113">
        <f t="shared" si="118"/>
        <v>2.719999999999986</v>
      </c>
      <c r="C348" s="117">
        <f t="shared" si="110"/>
        <v>3.4222399999999955</v>
      </c>
      <c r="D348" s="117">
        <f t="shared" si="126"/>
        <v>3.4372399999999956</v>
      </c>
      <c r="E348" s="117">
        <f t="shared" si="111"/>
        <v>3.3901199999999978</v>
      </c>
      <c r="F348" s="117">
        <f t="shared" si="124"/>
        <v>3.4051199999999979</v>
      </c>
      <c r="G348" s="117">
        <f t="shared" si="127"/>
        <v>2.5515000000000008</v>
      </c>
      <c r="H348" s="117">
        <f t="shared" si="125"/>
        <v>2.5665000000000009</v>
      </c>
      <c r="I348" s="116">
        <f>IF($B$7=constants!$C$60,G348,IF($B$8=constants!$C$60,C348,E348))</f>
        <v>3.4222399999999955</v>
      </c>
      <c r="J348" s="116">
        <f>IF($B$7=constants!$C$60,H348,IF($B$8=constants!$C$60,D348,F348))</f>
        <v>3.4372399999999956</v>
      </c>
      <c r="K348" s="121">
        <f t="shared" si="119"/>
        <v>1</v>
      </c>
      <c r="L348" s="10">
        <f t="shared" si="103"/>
        <v>3.4222399999999955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25">
      <c r="A349" s="3">
        <f t="shared" si="112"/>
        <v>1</v>
      </c>
      <c r="B349" s="113">
        <f t="shared" si="118"/>
        <v>2.7299999999999858</v>
      </c>
      <c r="C349" s="117">
        <f t="shared" si="110"/>
        <v>3.4251599999999955</v>
      </c>
      <c r="D349" s="117">
        <f t="shared" si="126"/>
        <v>3.4401599999999957</v>
      </c>
      <c r="E349" s="117">
        <f t="shared" si="111"/>
        <v>3.391579999999998</v>
      </c>
      <c r="F349" s="117">
        <f t="shared" si="124"/>
        <v>3.4065799999999982</v>
      </c>
      <c r="G349" s="117">
        <f t="shared" si="127"/>
        <v>2.5505000000000009</v>
      </c>
      <c r="H349" s="117">
        <f t="shared" si="125"/>
        <v>2.565500000000001</v>
      </c>
      <c r="I349" s="116">
        <f>IF($B$7=constants!$C$60,G349,IF($B$8=constants!$C$60,C349,E349))</f>
        <v>3.4251599999999955</v>
      </c>
      <c r="J349" s="116">
        <f>IF($B$7=constants!$C$60,H349,IF($B$8=constants!$C$60,D349,F349))</f>
        <v>3.4401599999999957</v>
      </c>
      <c r="K349" s="121">
        <f t="shared" si="119"/>
        <v>1</v>
      </c>
      <c r="L349" s="10">
        <f t="shared" si="103"/>
        <v>3.4251599999999955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25">
      <c r="A350" s="3">
        <f t="shared" si="112"/>
        <v>1</v>
      </c>
      <c r="B350" s="113">
        <f t="shared" si="118"/>
        <v>2.7399999999999856</v>
      </c>
      <c r="C350" s="117">
        <f t="shared" si="110"/>
        <v>3.4280799999999951</v>
      </c>
      <c r="D350" s="117">
        <f t="shared" si="126"/>
        <v>3.4430799999999953</v>
      </c>
      <c r="E350" s="117">
        <f t="shared" si="111"/>
        <v>3.3930399999999978</v>
      </c>
      <c r="F350" s="117">
        <f t="shared" si="124"/>
        <v>3.408039999999998</v>
      </c>
      <c r="G350" s="117">
        <f t="shared" si="127"/>
        <v>2.549500000000001</v>
      </c>
      <c r="H350" s="117">
        <f t="shared" si="125"/>
        <v>2.5645000000000011</v>
      </c>
      <c r="I350" s="116">
        <f>IF($B$7=constants!$C$60,G350,IF($B$8=constants!$C$60,C350,E350))</f>
        <v>3.4280799999999951</v>
      </c>
      <c r="J350" s="116">
        <f>IF($B$7=constants!$C$60,H350,IF($B$8=constants!$C$60,D350,F350))</f>
        <v>3.4430799999999953</v>
      </c>
      <c r="K350" s="121">
        <f t="shared" si="119"/>
        <v>1</v>
      </c>
      <c r="L350" s="10">
        <f t="shared" si="103"/>
        <v>3.4280799999999951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25">
      <c r="A351" s="3">
        <f t="shared" si="112"/>
        <v>1</v>
      </c>
      <c r="B351" s="113">
        <f t="shared" si="118"/>
        <v>2.7499999999999853</v>
      </c>
      <c r="C351" s="117">
        <f>$D$45*B351+$D$46</f>
        <v>3.431000000000004</v>
      </c>
      <c r="D351" s="117">
        <f t="shared" si="126"/>
        <v>3.4460000000000042</v>
      </c>
      <c r="E351" s="117">
        <f t="shared" si="111"/>
        <v>3.3944999999999981</v>
      </c>
      <c r="F351" s="117">
        <f t="shared" si="124"/>
        <v>3.4094999999999982</v>
      </c>
      <c r="G351" s="117">
        <f t="shared" si="127"/>
        <v>2.5485000000000011</v>
      </c>
      <c r="H351" s="117">
        <f t="shared" si="125"/>
        <v>2.5635000000000012</v>
      </c>
      <c r="I351" s="116">
        <f>IF($B$7=constants!$C$60,G351,IF($B$8=constants!$C$60,C351,E351))</f>
        <v>3.431000000000004</v>
      </c>
      <c r="J351" s="116">
        <f>IF($B$7=constants!$C$60,H351,IF($B$8=constants!$C$60,D351,F351))</f>
        <v>3.4460000000000042</v>
      </c>
      <c r="K351" s="121">
        <f t="shared" si="119"/>
        <v>1</v>
      </c>
      <c r="L351" s="10">
        <f t="shared" si="103"/>
        <v>3.431000000000004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25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3.428080000000004</v>
      </c>
      <c r="D352" s="117">
        <f t="shared" si="126"/>
        <v>3.4430800000000041</v>
      </c>
      <c r="E352" s="117">
        <f t="shared" si="111"/>
        <v>3.3959599999999979</v>
      </c>
      <c r="F352" s="117">
        <f t="shared" si="124"/>
        <v>3.410959999999998</v>
      </c>
      <c r="G352" s="117">
        <f t="shared" si="127"/>
        <v>2.5475000000000008</v>
      </c>
      <c r="H352" s="117">
        <f t="shared" si="125"/>
        <v>2.5625000000000009</v>
      </c>
      <c r="I352" s="116">
        <f>IF($B$7=constants!$C$60,G352,IF($B$8=constants!$C$60,C352,E352))</f>
        <v>3.428080000000004</v>
      </c>
      <c r="J352" s="116">
        <f>IF($B$7=constants!$C$60,H352,IF($B$8=constants!$C$60,D352,F352))</f>
        <v>3.4430800000000041</v>
      </c>
      <c r="K352" s="121">
        <f t="shared" si="119"/>
        <v>1</v>
      </c>
      <c r="L352" s="10">
        <f t="shared" si="103"/>
        <v>3.428080000000004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25">
      <c r="A353" s="3">
        <f t="shared" si="112"/>
        <v>1</v>
      </c>
      <c r="B353" s="113">
        <f t="shared" si="118"/>
        <v>2.7699999999999849</v>
      </c>
      <c r="C353" s="117">
        <f t="shared" si="128"/>
        <v>3.425160000000004</v>
      </c>
      <c r="D353" s="117">
        <f t="shared" si="126"/>
        <v>3.4401600000000041</v>
      </c>
      <c r="E353" s="117">
        <f t="shared" si="111"/>
        <v>3.3974199999999977</v>
      </c>
      <c r="F353" s="117">
        <f t="shared" si="124"/>
        <v>3.4124199999999978</v>
      </c>
      <c r="G353" s="117">
        <f t="shared" si="127"/>
        <v>2.5465000000000009</v>
      </c>
      <c r="H353" s="117">
        <f t="shared" si="125"/>
        <v>2.561500000000001</v>
      </c>
      <c r="I353" s="116">
        <f>IF($B$7=constants!$C$60,G353,IF($B$8=constants!$C$60,C353,E353))</f>
        <v>3.425160000000004</v>
      </c>
      <c r="J353" s="116">
        <f>IF($B$7=constants!$C$60,H353,IF($B$8=constants!$C$60,D353,F353))</f>
        <v>3.4401600000000041</v>
      </c>
      <c r="K353" s="121">
        <f t="shared" si="119"/>
        <v>1</v>
      </c>
      <c r="L353" s="10">
        <f t="shared" si="103"/>
        <v>3.425160000000004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25">
      <c r="A354" s="3">
        <f t="shared" si="112"/>
        <v>1</v>
      </c>
      <c r="B354" s="113">
        <f t="shared" si="118"/>
        <v>2.7799999999999847</v>
      </c>
      <c r="C354" s="117">
        <f t="shared" si="128"/>
        <v>3.4222400000000039</v>
      </c>
      <c r="D354" s="117">
        <f t="shared" si="126"/>
        <v>3.4372400000000041</v>
      </c>
      <c r="E354" s="117">
        <f t="shared" si="111"/>
        <v>3.3988799999999979</v>
      </c>
      <c r="F354" s="117">
        <f t="shared" si="124"/>
        <v>3.413879999999998</v>
      </c>
      <c r="G354" s="117">
        <f t="shared" si="127"/>
        <v>2.545500000000001</v>
      </c>
      <c r="H354" s="117">
        <f t="shared" si="125"/>
        <v>2.5605000000000011</v>
      </c>
      <c r="I354" s="116">
        <f>IF($B$7=constants!$C$60,G354,IF($B$8=constants!$C$60,C354,E354))</f>
        <v>3.4222400000000039</v>
      </c>
      <c r="J354" s="116">
        <f>IF($B$7=constants!$C$60,H354,IF($B$8=constants!$C$60,D354,F354))</f>
        <v>3.4372400000000041</v>
      </c>
      <c r="K354" s="121">
        <f t="shared" si="119"/>
        <v>1</v>
      </c>
      <c r="L354" s="10">
        <f t="shared" si="103"/>
        <v>3.4222400000000039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25">
      <c r="A355" s="3">
        <f t="shared" si="112"/>
        <v>1</v>
      </c>
      <c r="B355" s="113">
        <f t="shared" si="118"/>
        <v>2.7899999999999845</v>
      </c>
      <c r="C355" s="117">
        <f t="shared" si="128"/>
        <v>3.4193200000000044</v>
      </c>
      <c r="D355" s="117">
        <f t="shared" si="126"/>
        <v>3.4343200000000045</v>
      </c>
      <c r="E355" s="117">
        <f t="shared" si="111"/>
        <v>3.4003399999999977</v>
      </c>
      <c r="F355" s="117">
        <f t="shared" si="124"/>
        <v>3.4153399999999978</v>
      </c>
      <c r="G355" s="117">
        <f t="shared" si="127"/>
        <v>2.5445000000000011</v>
      </c>
      <c r="H355" s="117">
        <f t="shared" si="125"/>
        <v>2.5595000000000012</v>
      </c>
      <c r="I355" s="116">
        <f>IF($B$7=constants!$C$60,G355,IF($B$8=constants!$C$60,C355,E355))</f>
        <v>3.4193200000000044</v>
      </c>
      <c r="J355" s="116">
        <f>IF($B$7=constants!$C$60,H355,IF($B$8=constants!$C$60,D355,F355))</f>
        <v>3.4343200000000045</v>
      </c>
      <c r="K355" s="121">
        <f t="shared" si="119"/>
        <v>1</v>
      </c>
      <c r="L355" s="10">
        <f t="shared" si="103"/>
        <v>3.4193200000000044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25">
      <c r="A356" s="3">
        <f t="shared" si="112"/>
        <v>1</v>
      </c>
      <c r="B356" s="113">
        <f t="shared" si="118"/>
        <v>2.7999999999999843</v>
      </c>
      <c r="C356" s="117">
        <f t="shared" si="128"/>
        <v>3.4164000000000043</v>
      </c>
      <c r="D356" s="117">
        <f t="shared" si="126"/>
        <v>3.4314000000000044</v>
      </c>
      <c r="E356" s="117">
        <f t="shared" si="111"/>
        <v>3.4017999999999979</v>
      </c>
      <c r="F356" s="117">
        <f t="shared" si="124"/>
        <v>3.4167999999999981</v>
      </c>
      <c r="G356" s="117">
        <f t="shared" si="127"/>
        <v>2.5435000000000012</v>
      </c>
      <c r="H356" s="117">
        <f t="shared" si="125"/>
        <v>2.5585000000000013</v>
      </c>
      <c r="I356" s="116">
        <f>IF($B$7=constants!$C$60,G356,IF($B$8=constants!$C$60,C356,E356))</f>
        <v>3.4164000000000043</v>
      </c>
      <c r="J356" s="116">
        <f>IF($B$7=constants!$C$60,H356,IF($B$8=constants!$C$60,D356,F356))</f>
        <v>3.4314000000000044</v>
      </c>
      <c r="K356" s="121">
        <f t="shared" si="119"/>
        <v>1</v>
      </c>
      <c r="L356" s="10">
        <f t="shared" si="103"/>
        <v>3.4164000000000043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25">
      <c r="A357" s="3">
        <f t="shared" si="112"/>
        <v>1</v>
      </c>
      <c r="B357" s="113">
        <f t="shared" si="118"/>
        <v>2.8099999999999841</v>
      </c>
      <c r="C357" s="117">
        <f t="shared" si="128"/>
        <v>3.4134800000000043</v>
      </c>
      <c r="D357" s="117">
        <f t="shared" si="126"/>
        <v>3.4284800000000044</v>
      </c>
      <c r="E357" s="117">
        <f t="shared" si="111"/>
        <v>3.4032599999999977</v>
      </c>
      <c r="F357" s="117">
        <f t="shared" si="124"/>
        <v>3.4182599999999979</v>
      </c>
      <c r="G357" s="117">
        <f t="shared" si="127"/>
        <v>2.5425000000000009</v>
      </c>
      <c r="H357" s="117">
        <f t="shared" si="125"/>
        <v>2.557500000000001</v>
      </c>
      <c r="I357" s="116">
        <f>IF($B$7=constants!$C$60,G357,IF($B$8=constants!$C$60,C357,E357))</f>
        <v>3.4134800000000043</v>
      </c>
      <c r="J357" s="116">
        <f>IF($B$7=constants!$C$60,H357,IF($B$8=constants!$C$60,D357,F357))</f>
        <v>3.4284800000000044</v>
      </c>
      <c r="K357" s="121">
        <f t="shared" si="119"/>
        <v>1</v>
      </c>
      <c r="L357" s="10">
        <f t="shared" si="103"/>
        <v>3.4134800000000043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25">
      <c r="A358" s="3">
        <f t="shared" si="112"/>
        <v>1</v>
      </c>
      <c r="B358" s="113">
        <f t="shared" si="118"/>
        <v>2.8199999999999839</v>
      </c>
      <c r="C358" s="117">
        <f t="shared" si="128"/>
        <v>3.4105600000000043</v>
      </c>
      <c r="D358" s="117">
        <f t="shared" si="126"/>
        <v>3.4255600000000044</v>
      </c>
      <c r="E358" s="117">
        <f t="shared" si="111"/>
        <v>3.4047199999999975</v>
      </c>
      <c r="F358" s="117">
        <f t="shared" si="124"/>
        <v>3.4197199999999977</v>
      </c>
      <c r="G358" s="117">
        <f t="shared" si="127"/>
        <v>2.541500000000001</v>
      </c>
      <c r="H358" s="117">
        <f t="shared" si="125"/>
        <v>2.5565000000000011</v>
      </c>
      <c r="I358" s="116">
        <f>IF($B$7=constants!$C$60,G358,IF($B$8=constants!$C$60,C358,E358))</f>
        <v>3.4105600000000043</v>
      </c>
      <c r="J358" s="116">
        <f>IF($B$7=constants!$C$60,H358,IF($B$8=constants!$C$60,D358,F358))</f>
        <v>3.4255600000000044</v>
      </c>
      <c r="K358" s="121">
        <f t="shared" si="119"/>
        <v>1</v>
      </c>
      <c r="L358" s="10">
        <f t="shared" si="103"/>
        <v>3.4105600000000043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25">
      <c r="A359" s="3">
        <f t="shared" si="112"/>
        <v>1</v>
      </c>
      <c r="B359" s="113">
        <f t="shared" si="118"/>
        <v>2.8299999999999836</v>
      </c>
      <c r="C359" s="117">
        <f t="shared" si="128"/>
        <v>3.4076400000000042</v>
      </c>
      <c r="D359" s="117">
        <f t="shared" si="126"/>
        <v>3.4226400000000043</v>
      </c>
      <c r="E359" s="117">
        <f t="shared" si="111"/>
        <v>3.4061799999999978</v>
      </c>
      <c r="F359" s="117">
        <f t="shared" si="124"/>
        <v>3.4211799999999979</v>
      </c>
      <c r="G359" s="117">
        <f t="shared" si="127"/>
        <v>2.5405000000000011</v>
      </c>
      <c r="H359" s="117">
        <f t="shared" si="125"/>
        <v>2.5555000000000012</v>
      </c>
      <c r="I359" s="116">
        <f>IF($B$7=constants!$C$60,G359,IF($B$8=constants!$C$60,C359,E359))</f>
        <v>3.4076400000000042</v>
      </c>
      <c r="J359" s="116">
        <f>IF($B$7=constants!$C$60,H359,IF($B$8=constants!$C$60,D359,F359))</f>
        <v>3.4226400000000043</v>
      </c>
      <c r="K359" s="121">
        <f t="shared" si="119"/>
        <v>1</v>
      </c>
      <c r="L359" s="10">
        <f t="shared" si="103"/>
        <v>3.4076400000000042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25">
      <c r="A360" s="3">
        <f t="shared" si="112"/>
        <v>1</v>
      </c>
      <c r="B360" s="113">
        <f t="shared" si="118"/>
        <v>2.8399999999999834</v>
      </c>
      <c r="C360" s="117">
        <f t="shared" si="128"/>
        <v>3.4047200000000046</v>
      </c>
      <c r="D360" s="117">
        <f t="shared" si="126"/>
        <v>3.4197200000000048</v>
      </c>
      <c r="E360" s="117">
        <f t="shared" si="111"/>
        <v>3.4076399999999976</v>
      </c>
      <c r="F360" s="117">
        <f t="shared" si="124"/>
        <v>3.4226399999999977</v>
      </c>
      <c r="G360" s="117">
        <f t="shared" si="127"/>
        <v>2.5395000000000012</v>
      </c>
      <c r="H360" s="117">
        <f t="shared" si="125"/>
        <v>2.5545000000000013</v>
      </c>
      <c r="I360" s="116">
        <f>IF($B$7=constants!$C$60,G360,IF($B$8=constants!$C$60,C360,E360))</f>
        <v>3.4047200000000046</v>
      </c>
      <c r="J360" s="116">
        <f>IF($B$7=constants!$C$60,H360,IF($B$8=constants!$C$60,D360,F360))</f>
        <v>3.4197200000000048</v>
      </c>
      <c r="K360" s="121">
        <f t="shared" si="119"/>
        <v>1</v>
      </c>
      <c r="L360" s="10">
        <f t="shared" si="103"/>
        <v>3.4047200000000046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25">
      <c r="A361" s="3">
        <f t="shared" si="112"/>
        <v>1</v>
      </c>
      <c r="B361" s="113">
        <f t="shared" si="118"/>
        <v>2.8499999999999832</v>
      </c>
      <c r="C361" s="117">
        <f t="shared" si="128"/>
        <v>3.4018000000000046</v>
      </c>
      <c r="D361" s="117">
        <f t="shared" si="126"/>
        <v>3.4168000000000047</v>
      </c>
      <c r="E361" s="117">
        <f t="shared" si="111"/>
        <v>3.4090999999999978</v>
      </c>
      <c r="F361" s="117">
        <f t="shared" si="124"/>
        <v>3.4240999999999979</v>
      </c>
      <c r="G361" s="117">
        <f t="shared" si="127"/>
        <v>2.5385000000000013</v>
      </c>
      <c r="H361" s="117">
        <f t="shared" si="125"/>
        <v>2.5535000000000014</v>
      </c>
      <c r="I361" s="116">
        <f>IF($B$7=constants!$C$60,G361,IF($B$8=constants!$C$60,C361,E361))</f>
        <v>3.4018000000000046</v>
      </c>
      <c r="J361" s="116">
        <f>IF($B$7=constants!$C$60,H361,IF($B$8=constants!$C$60,D361,F361))</f>
        <v>3.4168000000000047</v>
      </c>
      <c r="K361" s="121">
        <f t="shared" si="119"/>
        <v>1</v>
      </c>
      <c r="L361" s="10">
        <f t="shared" si="103"/>
        <v>3.4018000000000046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25">
      <c r="A362" s="3">
        <f t="shared" si="112"/>
        <v>1</v>
      </c>
      <c r="B362" s="113">
        <f t="shared" si="118"/>
        <v>2.859999999999983</v>
      </c>
      <c r="C362" s="117">
        <f t="shared" si="128"/>
        <v>3.3988800000000046</v>
      </c>
      <c r="D362" s="117">
        <f t="shared" si="126"/>
        <v>3.4138800000000047</v>
      </c>
      <c r="E362" s="117">
        <f t="shared" si="111"/>
        <v>3.4105599999999976</v>
      </c>
      <c r="F362" s="117">
        <f t="shared" si="124"/>
        <v>3.4255599999999977</v>
      </c>
      <c r="G362" s="117">
        <f t="shared" si="127"/>
        <v>2.537500000000001</v>
      </c>
      <c r="H362" s="117">
        <f t="shared" si="125"/>
        <v>2.5525000000000011</v>
      </c>
      <c r="I362" s="116">
        <f>IF($B$7=constants!$C$60,G362,IF($B$8=constants!$C$60,C362,E362))</f>
        <v>3.3988800000000046</v>
      </c>
      <c r="J362" s="116">
        <f>IF($B$7=constants!$C$60,H362,IF($B$8=constants!$C$60,D362,F362))</f>
        <v>3.4138800000000047</v>
      </c>
      <c r="K362" s="121">
        <f t="shared" si="119"/>
        <v>1</v>
      </c>
      <c r="L362" s="10">
        <f t="shared" si="103"/>
        <v>3.3988800000000046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25">
      <c r="A363" s="3">
        <f t="shared" si="112"/>
        <v>1</v>
      </c>
      <c r="B363" s="113">
        <f t="shared" si="118"/>
        <v>2.8699999999999828</v>
      </c>
      <c r="C363" s="117">
        <f t="shared" si="128"/>
        <v>3.3959600000000045</v>
      </c>
      <c r="D363" s="117">
        <f t="shared" si="126"/>
        <v>3.4109600000000047</v>
      </c>
      <c r="E363" s="117">
        <f t="shared" si="111"/>
        <v>3.4120199999999974</v>
      </c>
      <c r="F363" s="117">
        <f t="shared" si="124"/>
        <v>3.4270199999999975</v>
      </c>
      <c r="G363" s="117">
        <f t="shared" si="127"/>
        <v>2.5365000000000011</v>
      </c>
      <c r="H363" s="117">
        <f t="shared" si="125"/>
        <v>2.5515000000000012</v>
      </c>
      <c r="I363" s="116">
        <f>IF($B$7=constants!$C$60,G363,IF($B$8=constants!$C$60,C363,E363))</f>
        <v>3.3959600000000045</v>
      </c>
      <c r="J363" s="116">
        <f>IF($B$7=constants!$C$60,H363,IF($B$8=constants!$C$60,D363,F363))</f>
        <v>3.4109600000000047</v>
      </c>
      <c r="K363" s="121">
        <f t="shared" si="119"/>
        <v>1</v>
      </c>
      <c r="L363" s="10">
        <f t="shared" si="103"/>
        <v>3.3959600000000045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25">
      <c r="A364" s="3">
        <f t="shared" si="112"/>
        <v>1</v>
      </c>
      <c r="B364" s="113">
        <f t="shared" si="118"/>
        <v>2.8799999999999826</v>
      </c>
      <c r="C364" s="117">
        <f t="shared" si="128"/>
        <v>3.3930400000000045</v>
      </c>
      <c r="D364" s="117">
        <f t="shared" si="126"/>
        <v>3.4080400000000046</v>
      </c>
      <c r="E364" s="117">
        <f t="shared" si="111"/>
        <v>3.4134799999999976</v>
      </c>
      <c r="F364" s="117">
        <f t="shared" si="124"/>
        <v>3.4284799999999978</v>
      </c>
      <c r="G364" s="117">
        <f t="shared" si="127"/>
        <v>2.5355000000000012</v>
      </c>
      <c r="H364" s="117">
        <f t="shared" si="125"/>
        <v>2.5505000000000013</v>
      </c>
      <c r="I364" s="116">
        <f>IF($B$7=constants!$C$60,G364,IF($B$8=constants!$C$60,C364,E364))</f>
        <v>3.3930400000000045</v>
      </c>
      <c r="J364" s="116">
        <f>IF($B$7=constants!$C$60,H364,IF($B$8=constants!$C$60,D364,F364))</f>
        <v>3.4080400000000046</v>
      </c>
      <c r="K364" s="121">
        <f t="shared" si="119"/>
        <v>1</v>
      </c>
      <c r="L364" s="10">
        <f t="shared" si="103"/>
        <v>3.3930400000000045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25">
      <c r="A365" s="3">
        <f t="shared" si="112"/>
        <v>1</v>
      </c>
      <c r="B365" s="113">
        <f t="shared" si="118"/>
        <v>2.8899999999999824</v>
      </c>
      <c r="C365" s="117">
        <f t="shared" si="128"/>
        <v>3.3901200000000049</v>
      </c>
      <c r="D365" s="117">
        <f t="shared" si="126"/>
        <v>3.405120000000005</v>
      </c>
      <c r="E365" s="117">
        <f t="shared" si="111"/>
        <v>3.4149399999999974</v>
      </c>
      <c r="F365" s="117">
        <f t="shared" si="124"/>
        <v>3.4299399999999975</v>
      </c>
      <c r="G365" s="117">
        <f t="shared" si="127"/>
        <v>2.5345000000000013</v>
      </c>
      <c r="H365" s="117">
        <f t="shared" si="125"/>
        <v>2.5495000000000014</v>
      </c>
      <c r="I365" s="116">
        <f>IF($B$7=constants!$C$60,G365,IF($B$8=constants!$C$60,C365,E365))</f>
        <v>3.3901200000000049</v>
      </c>
      <c r="J365" s="116">
        <f>IF($B$7=constants!$C$60,H365,IF($B$8=constants!$C$60,D365,F365))</f>
        <v>3.405120000000005</v>
      </c>
      <c r="K365" s="121">
        <f t="shared" si="119"/>
        <v>1</v>
      </c>
      <c r="L365" s="10">
        <f t="shared" si="103"/>
        <v>3.3901200000000049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25">
      <c r="A366" s="3">
        <f t="shared" si="112"/>
        <v>1</v>
      </c>
      <c r="B366" s="113">
        <f t="shared" si="118"/>
        <v>2.8999999999999821</v>
      </c>
      <c r="C366" s="117">
        <f t="shared" si="128"/>
        <v>3.3872000000000049</v>
      </c>
      <c r="D366" s="117">
        <f t="shared" si="126"/>
        <v>3.402200000000005</v>
      </c>
      <c r="E366" s="117">
        <f t="shared" si="111"/>
        <v>3.4163999999999977</v>
      </c>
      <c r="F366" s="117">
        <f t="shared" si="124"/>
        <v>3.4313999999999978</v>
      </c>
      <c r="G366" s="117">
        <f t="shared" si="127"/>
        <v>2.5335000000000014</v>
      </c>
      <c r="H366" s="117">
        <f t="shared" si="125"/>
        <v>2.5485000000000015</v>
      </c>
      <c r="I366" s="116">
        <f>IF($B$7=constants!$C$60,G366,IF($B$8=constants!$C$60,C366,E366))</f>
        <v>3.3872000000000049</v>
      </c>
      <c r="J366" s="116">
        <f>IF($B$7=constants!$C$60,H366,IF($B$8=constants!$C$60,D366,F366))</f>
        <v>3.402200000000005</v>
      </c>
      <c r="K366" s="121">
        <f t="shared" si="119"/>
        <v>1</v>
      </c>
      <c r="L366" s="10">
        <f t="shared" si="103"/>
        <v>3.3872000000000049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25">
      <c r="A367" s="3">
        <f t="shared" si="112"/>
        <v>1</v>
      </c>
      <c r="B367" s="113">
        <f t="shared" si="118"/>
        <v>2.9099999999999819</v>
      </c>
      <c r="C367" s="117">
        <f t="shared" si="128"/>
        <v>3.3842800000000048</v>
      </c>
      <c r="D367" s="117">
        <f t="shared" si="126"/>
        <v>3.399280000000005</v>
      </c>
      <c r="E367" s="117">
        <f t="shared" si="111"/>
        <v>3.4178599999999975</v>
      </c>
      <c r="F367" s="117">
        <f t="shared" si="124"/>
        <v>3.4328599999999976</v>
      </c>
      <c r="G367" s="117">
        <f t="shared" si="127"/>
        <v>2.5325000000000011</v>
      </c>
      <c r="H367" s="117">
        <f t="shared" si="125"/>
        <v>2.5475000000000012</v>
      </c>
      <c r="I367" s="116">
        <f>IF($B$7=constants!$C$60,G367,IF($B$8=constants!$C$60,C367,E367))</f>
        <v>3.3842800000000048</v>
      </c>
      <c r="J367" s="116">
        <f>IF($B$7=constants!$C$60,H367,IF($B$8=constants!$C$60,D367,F367))</f>
        <v>3.399280000000005</v>
      </c>
      <c r="K367" s="121">
        <f t="shared" si="119"/>
        <v>1</v>
      </c>
      <c r="L367" s="10">
        <f t="shared" si="103"/>
        <v>3.3842800000000048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25">
      <c r="A368" s="3">
        <f t="shared" si="112"/>
        <v>1</v>
      </c>
      <c r="B368" s="113">
        <f t="shared" si="118"/>
        <v>2.9199999999999817</v>
      </c>
      <c r="C368" s="117">
        <f t="shared" si="128"/>
        <v>3.3813600000000053</v>
      </c>
      <c r="D368" s="117">
        <f t="shared" si="126"/>
        <v>3.3963600000000054</v>
      </c>
      <c r="E368" s="117">
        <f t="shared" si="111"/>
        <v>3.4193199999999973</v>
      </c>
      <c r="F368" s="117">
        <f t="shared" si="124"/>
        <v>3.4343199999999974</v>
      </c>
      <c r="G368" s="117">
        <f t="shared" si="127"/>
        <v>2.5315000000000012</v>
      </c>
      <c r="H368" s="117">
        <f t="shared" si="125"/>
        <v>2.5465000000000013</v>
      </c>
      <c r="I368" s="116">
        <f>IF($B$7=constants!$C$60,G368,IF($B$8=constants!$C$60,C368,E368))</f>
        <v>3.3813600000000053</v>
      </c>
      <c r="J368" s="116">
        <f>IF($B$7=constants!$C$60,H368,IF($B$8=constants!$C$60,D368,F368))</f>
        <v>3.3963600000000054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3.3813600000000053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25">
      <c r="A369" s="3">
        <f t="shared" si="112"/>
        <v>1</v>
      </c>
      <c r="B369" s="113">
        <f t="shared" si="118"/>
        <v>2.9299999999999815</v>
      </c>
      <c r="C369" s="117">
        <f t="shared" si="128"/>
        <v>3.3784400000000048</v>
      </c>
      <c r="D369" s="117">
        <f t="shared" si="126"/>
        <v>3.3934400000000049</v>
      </c>
      <c r="E369" s="117">
        <f t="shared" si="111"/>
        <v>3.4207799999999975</v>
      </c>
      <c r="F369" s="117">
        <f t="shared" ref="F369:F376" si="131">E369+$F$74</f>
        <v>3.4357799999999976</v>
      </c>
      <c r="G369" s="117">
        <f t="shared" si="127"/>
        <v>2.5305000000000013</v>
      </c>
      <c r="H369" s="117">
        <f t="shared" si="125"/>
        <v>2.5455000000000014</v>
      </c>
      <c r="I369" s="116">
        <f>IF($B$7=constants!$C$60,G369,IF($B$8=constants!$C$60,C369,E369))</f>
        <v>3.3784400000000048</v>
      </c>
      <c r="J369" s="116">
        <f>IF($B$7=constants!$C$60,H369,IF($B$8=constants!$C$60,D369,F369))</f>
        <v>3.3934400000000049</v>
      </c>
      <c r="K369" s="121">
        <f t="shared" si="119"/>
        <v>1</v>
      </c>
      <c r="L369" s="10">
        <f t="shared" si="129"/>
        <v>3.3784400000000048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25">
      <c r="A370" s="3">
        <f t="shared" si="112"/>
        <v>1</v>
      </c>
      <c r="B370" s="113">
        <f t="shared" si="118"/>
        <v>2.9399999999999813</v>
      </c>
      <c r="C370" s="117">
        <f t="shared" si="128"/>
        <v>3.3755200000000052</v>
      </c>
      <c r="D370" s="117">
        <f t="shared" si="126"/>
        <v>3.3905200000000053</v>
      </c>
      <c r="E370" s="117">
        <f t="shared" si="111"/>
        <v>3.4222399999999973</v>
      </c>
      <c r="F370" s="117">
        <f t="shared" si="131"/>
        <v>3.4372399999999974</v>
      </c>
      <c r="G370" s="117">
        <f t="shared" si="127"/>
        <v>2.5295000000000014</v>
      </c>
      <c r="H370" s="117">
        <f t="shared" si="125"/>
        <v>2.5445000000000015</v>
      </c>
      <c r="I370" s="116">
        <f>IF($B$7=constants!$C$60,G370,IF($B$8=constants!$C$60,C370,E370))</f>
        <v>3.3755200000000052</v>
      </c>
      <c r="J370" s="116">
        <f>IF($B$7=constants!$C$60,H370,IF($B$8=constants!$C$60,D370,F370))</f>
        <v>3.3905200000000053</v>
      </c>
      <c r="K370" s="121">
        <f t="shared" si="119"/>
        <v>1</v>
      </c>
      <c r="L370" s="10">
        <f t="shared" si="129"/>
        <v>3.3755200000000052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25">
      <c r="A371" s="3">
        <f t="shared" si="112"/>
        <v>1</v>
      </c>
      <c r="B371" s="113">
        <f t="shared" si="118"/>
        <v>2.9499999999999811</v>
      </c>
      <c r="C371" s="117">
        <f t="shared" si="128"/>
        <v>3.3726000000000051</v>
      </c>
      <c r="D371" s="117">
        <f t="shared" si="126"/>
        <v>3.3876000000000053</v>
      </c>
      <c r="E371" s="117">
        <f t="shared" si="111"/>
        <v>3.4236999999999975</v>
      </c>
      <c r="F371" s="117">
        <f t="shared" si="131"/>
        <v>3.4386999999999976</v>
      </c>
      <c r="G371" s="117">
        <f t="shared" si="127"/>
        <v>2.5285000000000015</v>
      </c>
      <c r="H371" s="117">
        <f t="shared" si="125"/>
        <v>2.5435000000000016</v>
      </c>
      <c r="I371" s="116">
        <f>IF($B$7=constants!$C$60,G371,IF($B$8=constants!$C$60,C371,E371))</f>
        <v>3.3726000000000051</v>
      </c>
      <c r="J371" s="116">
        <f>IF($B$7=constants!$C$60,H371,IF($B$8=constants!$C$60,D371,F371))</f>
        <v>3.3876000000000053</v>
      </c>
      <c r="K371" s="121">
        <f t="shared" si="119"/>
        <v>1</v>
      </c>
      <c r="L371" s="10">
        <f t="shared" si="129"/>
        <v>3.3726000000000051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25">
      <c r="A372" s="3">
        <f t="shared" si="112"/>
        <v>1</v>
      </c>
      <c r="B372" s="113">
        <f t="shared" si="118"/>
        <v>2.9599999999999809</v>
      </c>
      <c r="C372" s="117">
        <f t="shared" si="128"/>
        <v>3.3696800000000051</v>
      </c>
      <c r="D372" s="117">
        <f t="shared" si="126"/>
        <v>3.3846800000000052</v>
      </c>
      <c r="E372" s="117">
        <f t="shared" si="111"/>
        <v>3.4251599999999973</v>
      </c>
      <c r="F372" s="117">
        <f t="shared" si="131"/>
        <v>3.4401599999999974</v>
      </c>
      <c r="G372" s="117">
        <f t="shared" si="127"/>
        <v>2.5275000000000012</v>
      </c>
      <c r="H372" s="117">
        <f t="shared" si="125"/>
        <v>2.5425000000000013</v>
      </c>
      <c r="I372" s="116">
        <f>IF($B$7=constants!$C$60,G372,IF($B$8=constants!$C$60,C372,E372))</f>
        <v>3.3696800000000051</v>
      </c>
      <c r="J372" s="116">
        <f>IF($B$7=constants!$C$60,H372,IF($B$8=constants!$C$60,D372,F372))</f>
        <v>3.3846800000000052</v>
      </c>
      <c r="K372" s="121">
        <f t="shared" si="119"/>
        <v>1</v>
      </c>
      <c r="L372" s="10">
        <f t="shared" si="129"/>
        <v>3.3696800000000051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25">
      <c r="A373" s="3">
        <f t="shared" si="112"/>
        <v>1</v>
      </c>
      <c r="B373" s="113">
        <f t="shared" si="118"/>
        <v>2.9699999999999807</v>
      </c>
      <c r="C373" s="117">
        <f t="shared" si="128"/>
        <v>3.3667600000000055</v>
      </c>
      <c r="D373" s="117">
        <f t="shared" ref="D373:D376" si="133">C373+$D$74</f>
        <v>3.3817600000000057</v>
      </c>
      <c r="E373" s="117">
        <f t="shared" si="111"/>
        <v>3.4266199999999971</v>
      </c>
      <c r="F373" s="117">
        <f t="shared" si="131"/>
        <v>3.4416199999999972</v>
      </c>
      <c r="G373" s="117">
        <f t="shared" si="127"/>
        <v>2.5265000000000013</v>
      </c>
      <c r="H373" s="117">
        <f t="shared" si="125"/>
        <v>2.5415000000000014</v>
      </c>
      <c r="I373" s="116">
        <f>IF($B$7=constants!$C$60,G373,IF($B$8=constants!$C$60,C373,E373))</f>
        <v>3.3667600000000055</v>
      </c>
      <c r="J373" s="116">
        <f>IF($B$7=constants!$C$60,H373,IF($B$8=constants!$C$60,D373,F373))</f>
        <v>3.3817600000000057</v>
      </c>
      <c r="K373" s="121">
        <f t="shared" si="119"/>
        <v>1</v>
      </c>
      <c r="L373" s="10">
        <f t="shared" si="129"/>
        <v>3.3667600000000055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25">
      <c r="A374" s="3">
        <f t="shared" si="112"/>
        <v>1</v>
      </c>
      <c r="B374" s="113">
        <f t="shared" si="118"/>
        <v>2.9799999999999804</v>
      </c>
      <c r="C374" s="117">
        <f t="shared" si="128"/>
        <v>3.3638400000000055</v>
      </c>
      <c r="D374" s="117">
        <f t="shared" si="133"/>
        <v>3.3788400000000056</v>
      </c>
      <c r="E374" s="117">
        <f t="shared" si="111"/>
        <v>3.4280799999999974</v>
      </c>
      <c r="F374" s="117">
        <f t="shared" si="131"/>
        <v>3.4430799999999975</v>
      </c>
      <c r="G374" s="117">
        <f t="shared" si="127"/>
        <v>2.5255000000000014</v>
      </c>
      <c r="H374" s="117">
        <f t="shared" si="125"/>
        <v>2.5405000000000015</v>
      </c>
      <c r="I374" s="116">
        <f>IF($B$7=constants!$C$60,G374,IF($B$8=constants!$C$60,C374,E374))</f>
        <v>3.3638400000000055</v>
      </c>
      <c r="J374" s="116">
        <f>IF($B$7=constants!$C$60,H374,IF($B$8=constants!$C$60,D374,F374))</f>
        <v>3.3788400000000056</v>
      </c>
      <c r="K374" s="121">
        <f t="shared" si="119"/>
        <v>1</v>
      </c>
      <c r="L374" s="10">
        <f t="shared" si="129"/>
        <v>3.3638400000000055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25">
      <c r="A375" s="3">
        <f t="shared" si="112"/>
        <v>1</v>
      </c>
      <c r="B375" s="113">
        <f t="shared" si="118"/>
        <v>2.9899999999999802</v>
      </c>
      <c r="C375" s="117">
        <f t="shared" si="128"/>
        <v>3.3609200000000055</v>
      </c>
      <c r="D375" s="117">
        <f t="shared" si="133"/>
        <v>3.3759200000000056</v>
      </c>
      <c r="E375" s="117">
        <f t="shared" si="111"/>
        <v>3.4295399999999971</v>
      </c>
      <c r="F375" s="117">
        <f t="shared" si="131"/>
        <v>3.4445399999999973</v>
      </c>
      <c r="G375" s="117">
        <f t="shared" si="127"/>
        <v>2.5245000000000015</v>
      </c>
      <c r="H375" s="117">
        <f t="shared" si="125"/>
        <v>2.5395000000000016</v>
      </c>
      <c r="I375" s="116">
        <f>IF($B$7=constants!$C$60,G375,IF($B$8=constants!$C$60,C375,E375))</f>
        <v>3.3609200000000055</v>
      </c>
      <c r="J375" s="116">
        <f>IF($B$7=constants!$C$60,H375,IF($B$8=constants!$C$60,D375,F375))</f>
        <v>3.3759200000000056</v>
      </c>
      <c r="K375" s="121">
        <f t="shared" si="119"/>
        <v>1</v>
      </c>
      <c r="L375" s="10">
        <f t="shared" si="129"/>
        <v>3.3609200000000055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25">
      <c r="A376" s="3">
        <f t="shared" si="112"/>
        <v>1</v>
      </c>
      <c r="B376" s="113">
        <f t="shared" si="118"/>
        <v>2.99999999999998</v>
      </c>
      <c r="C376" s="117">
        <f t="shared" si="128"/>
        <v>3.3580000000000054</v>
      </c>
      <c r="D376" s="117">
        <f t="shared" si="133"/>
        <v>3.3730000000000055</v>
      </c>
      <c r="E376" s="117">
        <f t="shared" si="111"/>
        <v>3.4309999999999969</v>
      </c>
      <c r="F376" s="117">
        <f t="shared" si="131"/>
        <v>3.4459999999999971</v>
      </c>
      <c r="G376" s="117">
        <f t="shared" si="127"/>
        <v>2.5235000000000016</v>
      </c>
      <c r="H376" s="117">
        <f t="shared" si="125"/>
        <v>2.5385000000000018</v>
      </c>
      <c r="I376" s="116">
        <f>IF($B$7=constants!$C$60,G376,IF($B$8=constants!$C$60,C376,E376))</f>
        <v>3.3580000000000054</v>
      </c>
      <c r="J376" s="116">
        <f>IF($B$7=constants!$C$60,H376,IF($B$8=constants!$C$60,D376,F376))</f>
        <v>3.3730000000000055</v>
      </c>
      <c r="K376" s="121">
        <f t="shared" si="119"/>
        <v>1</v>
      </c>
      <c r="L376" s="10">
        <f t="shared" si="129"/>
        <v>3.3580000000000054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map'!Print_Area</vt:lpstr>
      <vt:lpstr>settings!Print_Area</vt:lpstr>
      <vt:lpstr>settings!Print_Titles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Marti, Cyril</cp:lastModifiedBy>
  <cp:lastPrinted>2015-07-10T08:56:19Z</cp:lastPrinted>
  <dcterms:created xsi:type="dcterms:W3CDTF">2015-05-15T08:52:42Z</dcterms:created>
  <dcterms:modified xsi:type="dcterms:W3CDTF">2015-09-28T12:48:41Z</dcterms:modified>
</cp:coreProperties>
</file>