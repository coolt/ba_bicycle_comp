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King\Documents\GitHub\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71027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D131" i="2" l="1"/>
  <c r="D132" i="2" s="1"/>
  <c r="D133" i="2" s="1"/>
  <c r="D134" i="2" s="1"/>
  <c r="D135" i="2" s="1"/>
  <c r="D136" i="2" s="1"/>
  <c r="E28" i="12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V216" i="14" s="1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V302" i="14" s="1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V355" i="14" s="1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<sst xmlns="http://schemas.openxmlformats.org/spreadsheetml/2006/main" count="1185" uniqueCount="698">
  <si>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</si>
  <si>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</si>
  <si>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</si>
  <si>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</si>
  <si>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</si>
  <si>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</si>
  <si>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</si>
  <si>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</si>
  <si>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</si>
  <si>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</si>
  <si>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</si>
  <si>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</si>
  <si>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</si>
  <si>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</si>
  <si>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</si>
  <si>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</si>
  <si>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</si>
  <si>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</si>
  <si>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</si>
  <si>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</si>
  <si>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</si>
  <si>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</si>
  <si>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</si>
  <si>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</si>
  <si>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</si>
  <si>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</si>
  <si>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</si>
  <si>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</si>
  <si>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</si>
  <si>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</si>
  <si>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</si>
  <si>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</si>
  <si>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</si>
  <si>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</si>
  <si>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</si>
  <si>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</si>
  <si>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</si>
  <si>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</si>
  <si>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</si>
  <si>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</si>
  <si>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</si>
  <si>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</si>
  <si>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</si>
  <si>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</si>
  <si>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</si>
  <si>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</si>
  <si>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</si>
  <si>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</si>
  <si>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</si>
  <si>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</si>
  <si>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</si>
  <si>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</si>
  <si>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</si>
  <si>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</si>
  <si>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</si>
  <si>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</si>
  <si>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</si>
  <si>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</si>
  <si>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</si>
  <si>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</si>
  <si>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</si>
  <si>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</si>
  <si>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</si>
  <si>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</si>
  <si>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</si>
  <si>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</si>
  <si>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</si>
  <si>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</si>
  <si>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</si>
  <si>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</si>
  <si>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</si>
  <si>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</si>
  <si>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</si>
  <si>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</si>
  <si>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</si>
  <si>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</si>
  <si>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</si>
  <si>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</si>
  <si>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</si>
  <si>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</si>
  <si>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</si>
  <si>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</si>
  <si>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</si>
  <si>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</si>
  <si>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</si>
  <si>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</si>
  <si>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</si>
  <si>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</si>
  <si>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</si>
  <si>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</si>
  <si>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</si>
  <si>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</si>
  <si>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</si>
  <si>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</si>
  <si>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</si>
  <si>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</si>
  <si>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</si>
  <si>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</si>
  <si>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</si>
  <si>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</si>
  <si>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</si>
  <si>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</si>
  <si>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</si>
  <si>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</si>
  <si>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</si>
  <si>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</si>
  <si>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</si>
  <si>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</si>
  <si>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</si>
  <si>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</si>
  <si>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</si>
  <si>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</si>
  <si>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</si>
  <si>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</si>
  <si>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</si>
  <si>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</si>
  <si>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</si>
  <si>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</si>
  <si>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</si>
  <si>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</si>
  <si>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</si>
  <si>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</si>
  <si>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</si>
  <si>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</si>
  <si>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</si>
  <si>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</si>
  <si>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</si>
  <si>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</si>
  <si>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</si>
  <si>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</si>
  <si>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</si>
  <si>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</si>
  <si>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</si>
  <si>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</si>
  <si>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</si>
  <si>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</si>
  <si>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</si>
  <si>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</si>
  <si>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</si>
  <si>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</si>
  <si>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</si>
  <si>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</si>
  <si>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</si>
  <si>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</si>
  <si>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</si>
  <si>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</si>
  <si>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</si>
  <si>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</si>
  <si>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</si>
  <si>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</si>
  <si>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</si>
  <si>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</si>
  <si>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</si>
  <si>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</si>
  <si>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</si>
  <si>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</si>
  <si>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</si>
  <si>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</si>
  <si>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</si>
  <si>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</si>
  <si>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</si>
  <si>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</si>
  <si>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</si>
  <si>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</si>
  <si>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</si>
  <si>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</si>
  <si>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</si>
  <si>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</si>
  <si>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</si>
  <si>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</si>
  <si>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</si>
  <si>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</si>
  <si>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</si>
  <si>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</si>
  <si>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</si>
  <si>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</si>
  <si>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</si>
  <si>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</si>
  <si>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</si>
  <si>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</si>
  <si>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</si>
  <si>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</si>
  <si>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</si>
  <si>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</si>
  <si>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</si>
  <si>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</si>
  <si>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</si>
  <si>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</si>
  <si>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</si>
  <si>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</si>
  <si>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</si>
  <si>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</si>
  <si>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</si>
  <si>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</si>
  <si>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</si>
  <si>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</si>
  <si>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</si>
  <si>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</si>
  <si>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</si>
  <si>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</si>
  <si>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</si>
  <si>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</si>
  <si>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</si>
  <si>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</si>
  <si>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</si>
  <si>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</si>
  <si>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</si>
  <si>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</si>
  <si>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</si>
  <si>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</si>
  <si>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</si>
  <si>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</si>
  <si>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</si>
  <si>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</si>
  <si>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</si>
  <si>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</si>
  <si>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</si>
  <si>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</si>
  <si>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</si>
  <si>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</si>
  <si>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</si>
  <si>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</si>
  <si>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</si>
  <si>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</si>
  <si>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</si>
  <si>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</si>
  <si>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</si>
  <si>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</si>
  <si>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</si>
  <si>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</si>
  <si>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</si>
  <si>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</si>
  <si>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</si>
  <si>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</si>
  <si>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</si>
  <si>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</si>
  <si>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</si>
  <si>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</si>
  <si>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</si>
  <si>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</si>
  <si>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</si>
  <si>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</si>
  <si>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</si>
  <si>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</si>
  <si>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</si>
  <si>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</si>
  <si>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</si>
  <si>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</si>
  <si>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</si>
  <si>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</si>
  <si>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</si>
  <si>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</si>
  <si>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</si>
  <si>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</si>
  <si>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</si>
  <si>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</si>
  <si>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</si>
  <si>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</si>
  <si>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</si>
  <si>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</si>
  <si>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</si>
  <si>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</si>
  <si>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</si>
  <si>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</si>
  <si>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</si>
  <si>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</si>
  <si>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</si>
  <si>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</si>
  <si>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</si>
  <si>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</si>
  <si>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</si>
  <si>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</si>
  <si>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</si>
  <si>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</si>
  <si>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</si>
  <si>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</si>
  <si>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</si>
  <si>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</si>
  <si>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</si>
  <si>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</si>
  <si>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</si>
  <si>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</si>
  <si>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</si>
  <si>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</si>
  <si>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</si>
  <si>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</si>
  <si>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</si>
  <si>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</si>
  <si>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</si>
  <si>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</si>
  <si>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</si>
  <si>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</si>
  <si>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</si>
  <si>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</si>
  <si>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</si>
  <si>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</si>
  <si>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</si>
  <si>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</si>
  <si>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</si>
  <si>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</si>
  <si>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</si>
  <si>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</si>
  <si>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</si>
  <si>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</si>
  <si>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</si>
  <si>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</si>
  <si>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</si>
  <si>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</si>
  <si>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</si>
  <si>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</si>
  <si>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</si>
  <si>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</si>
  <si>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</si>
  <si>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</si>
  <si>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</si>
  <si>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</si>
  <si>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</si>
  <si>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</si>
  <si>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</si>
  <si>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</si>
  <si>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</si>
  <si>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</si>
  <si>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</si>
  <si>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</si>
  <si>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</si>
  <si>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</si>
  <si>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</si>
  <si>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</si>
  <si>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</si>
  <si>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</si>
  <si>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</si>
  <si>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</si>
  <si>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</si>
  <si>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</si>
  <si>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</si>
  <si>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</si>
  <si>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</si>
  <si>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</si>
  <si>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</si>
  <si>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</si>
  <si>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</si>
  <si>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</si>
  <si>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</si>
  <si>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</si>
  <si>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</si>
  <si>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</si>
  <si>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</si>
  <si>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</si>
  <si>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</si>
  <si>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</si>
  <si>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</si>
  <si>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</si>
  <si>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</si>
  <si>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</si>
  <si>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</si>
  <si>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</si>
  <si>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</si>
  <si>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</si>
  <si>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</si>
  <si>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</si>
  <si>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</si>
  <si>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</si>
  <si>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</si>
  <si>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</si>
  <si>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</si>
  <si>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</si>
  <si>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</si>
  <si>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</si>
  <si>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</si>
  <si>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</si>
  <si>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</si>
  <si>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</si>
  <si>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</si>
  <si>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</si>
  <si>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</si>
  <si>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</si>
  <si>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</si>
  <si>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</si>
  <si>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</si>
  <si>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</si>
  <si>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</si>
  <si>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</si>
  <si>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</si>
  <si>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</si>
  <si>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</si>
  <si>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</si>
  <si>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</si>
  <si>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</si>
  <si>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</si>
  <si>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</si>
  <si>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</si>
  <si>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</si>
  <si>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</si>
  <si>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</si>
  <si>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</si>
  <si>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</si>
  <si>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</si>
  <si>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</si>
  <si>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</si>
  <si>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</si>
  <si>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</si>
  <si>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</si>
  <si>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</si>
  <si>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</si>
  <si>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</si>
  <si>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</si>
  <si>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</si>
  <si>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</si>
  <si>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</si>
  <si>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</si>
  <si>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</si>
  <si>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</si>
  <si>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</si>
  <si>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</si>
  <si>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</si>
  <si>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</si>
  <si>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</si>
  <si>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</si>
  <si>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</si>
  <si>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</si>
  <si>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</si>
  <si>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</si>
  <si>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</si>
  <si>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</si>
  <si>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</si>
  <si>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</si>
  <si>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</si>
  <si>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</si>
  <si>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</si>
  <si>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</si>
  <si>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</si>
  <si>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</si>
  <si>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</si>
  <si>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</si>
  <si>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</si>
  <si>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</si>
  <si>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</si>
  <si>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</si>
  <si>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</si>
  <si>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</si>
  <si>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</si>
  <si>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</si>
  <si>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</si>
  <si>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</si>
  <si>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</si>
  <si>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</si>
  <si>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</si>
  <si>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</si>
  <si>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</si>
  <si>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</si>
  <si>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</si>
  <si>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</si>
  <si>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</si>
  <si>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</si>
  <si>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</si>
  <si>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</si>
  <si>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</si>
  <si>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</si>
  <si>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</si>
  <si>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</si>
  <si>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</si>
  <si>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</si>
  <si>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</si>
  <si>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</si>
  <si>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</si>
  <si>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</si>
  <si>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</si>
  <si>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</si>
  <si>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</si>
  <si>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</si>
  <si>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</si>
  <si>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</si>
  <si>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</si>
  <si>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</si>
  <si>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</si>
  <si>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</si>
  <si>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</si>
  <si>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</si>
  <si>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</si>
  <si>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</si>
  <si>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</si>
  <si>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</si>
  <si>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</si>
  <si>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</si>
  <si>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</si>
  <si>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</si>
  <si>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</si>
  <si>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</si>
  <si>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</si>
  <si>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</si>
  <si>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</si>
  <si>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</si>
  <si>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</si>
  <si>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</si>
  <si>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</si>
  <si>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</si>
  <si>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</si>
  <si>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</si>
  <si>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</si>
  <si>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</si>
  <si>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</si>
  <si>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</si>
  <si>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</si>
  <si>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</si>
  <si>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</si>
  <si>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</si>
  <si>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</si>
  <si>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</si>
  <si>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</si>
  <si>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</si>
  <si>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</si>
  <si>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</si>
  <si>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</si>
  <si>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</si>
  <si>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</si>
  <si>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</si>
  <si>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</si>
  <si>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</si>
  <si>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</si>
  <si>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</si>
  <si>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</si>
  <si>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</si>
  <si>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</si>
  <si>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</si>
  <si>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</si>
  <si>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</si>
  <si>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</si>
  <si>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</si>
  <si>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</si>
  <si>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</si>
  <si>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</si>
  <si>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</si>
  <si>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</si>
  <si>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</si>
  <si>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</si>
  <si>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</si>
  <si>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</si>
  <si>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</si>
  <si>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</si>
  <si>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</si>
  <si>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</si>
  <si>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</si>
  <si>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</si>
  <si>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</si>
  <si>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</si>
  <si>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</si>
  <si>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</si>
  <si>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</si>
  <si>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</si>
  <si>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</si>
  <si>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</si>
  <si>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</si>
  <si>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</si>
  <si>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</si>
  <si>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</si>
  <si>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</si>
  <si>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</si>
  <si>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</si>
  <si>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</si>
  <si>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</si>
  <si>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</si>
  <si>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</si>
  <si>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</si>
  <si>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</si>
  <si>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</si>
  <si>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</si>
  <si>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</si>
  <si>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</si>
  <si>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</si>
  <si>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</si>
  <si>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</si>
  <si>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</si>
  <si>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</si>
  <si>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</si>
  <si>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</si>
  <si>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</si>
  <si>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</si>
  <si>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</si>
  <si>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</si>
  <si>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</si>
  <si>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</si>
  <si>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</si>
  <si>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</si>
  <si>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</si>
  <si>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</si>
  <si>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</si>
  <si>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</si>
  <si>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</si>
  <si>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</si>
  <si>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</si>
  <si>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</si>
  <si>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</si>
  <si>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</si>
  <si>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</si>
  <si>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</si>
  <si>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</si>
  <si>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</si>
  <si>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</si>
  <si>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</si>
  <si>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</si>
  <si>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</si>
  <si>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</si>
  <si>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</si>
  <si>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</si>
  <si>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</si>
  <si>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</si>
  <si>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</si>
  <si>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</si>
  <si>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</si>
  <si>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</si>
  <si>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</si>
  <si>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</si>
  <si>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</si>
  <si>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</si>
  <si>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</si>
  <si>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</si>
  <si>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</si>
  <si>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</si>
  <si>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</si>
  <si>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</si>
  <si>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</si>
  <si>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</si>
  <si>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</si>
  <si>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</si>
  <si>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</si>
  <si>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</si>
  <si>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</si>
  <si>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</si>
  <si>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</si>
  <si>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</si>
  <si>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</si>
  <si>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</si>
  <si>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</si>
  <si>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</si>
  <si>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</si>
  <si>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</si>
  <si>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</si>
  <si>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</si>
  <si>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</si>
  <si>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</si>
  <si>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</si>
  <si>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</si>
  <si>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</si>
  <si>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</si>
  <si>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</si>
  <si>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</si>
  <si>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</si>
  <si>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</si>
  <si>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</si>
  <si>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</si>
  <si>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</si>
  <si>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</si>
  <si>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</si>
  <si>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</si>
  <si>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</si>
  <si>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</si>
  <si>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</si>
  <si>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</si>
  <si>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</si>
  <si>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</si>
  <si>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</si>
  <si>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</si>
  <si>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</si>
  <si>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</si>
  <si>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</si>
  <si>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</si>
  <si>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</si>
  <si>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</si>
  <si>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</si>
  <si>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</si>
  <si>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</si>
  <si>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</si>
  <si>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</si>
  <si>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</si>
  <si>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</si>
  <si>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</si>
  <si>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</si>
  <si>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</si>
  <si>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</si>
  <si>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</si>
  <si>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</si>
  <si>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</si>
  <si>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</si>
  <si>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</si>
  <si>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</si>
  <si>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</si>
  <si>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</si>
  <si>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</si>
  <si>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</si>
  <si>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</si>
  <si>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</si>
  <si>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</si>
  <si>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</si>
  <si>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</si>
  <si>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</si>
  <si>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</si>
  <si>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1b</t>
  </si>
  <si>
    <t>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</si>
</sst>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9-4DC4-BF3B-80BCC66A3548}"/>
            </c:ext>
          </c:extLst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59-4DC4-BF3B-80BCC66A3548}"/>
            </c:ext>
          </c:extLst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59-4DC4-BF3B-80BCC66A3548}"/>
            </c:ext>
          </c:extLst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59-4DC4-BF3B-80BCC66A35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E59-4DC4-BF3B-80BCC66A3548}"/>
            </c:ext>
          </c:extLst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59-4DC4-BF3B-80BCC66A3548}"/>
            </c:ext>
          </c:extLst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E59-4DC4-BF3B-80BCC66A3548}"/>
            </c:ext>
          </c:extLst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59-4DC4-BF3B-80BCC66A3548}"/>
            </c:ext>
          </c:extLst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59-4DC4-BF3B-80BCC66A3548}"/>
            </c:ext>
          </c:extLst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E59-4DC4-BF3B-80BCC66A3548}"/>
            </c:ext>
          </c:extLst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E59-4DC4-BF3B-80BCC66A3548}"/>
            </c:ext>
          </c:extLst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E59-4DC4-BF3B-80BCC66A3548}"/>
            </c:ext>
          </c:extLst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E59-4DC4-BF3B-80BCC66A3548}"/>
            </c:ext>
          </c:extLst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E59-4DC4-BF3B-80BCC66A3548}"/>
            </c:ext>
          </c:extLst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E59-4DC4-BF3B-80BCC66A354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E59-4DC4-BF3B-80BCC66A3548}"/>
            </c:ext>
          </c:extLst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E59-4DC4-BF3B-80BCC66A3548}"/>
            </c:ext>
          </c:extLst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E59-4DC4-BF3B-80BCC66A3548}"/>
            </c:ext>
          </c:extLst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  <c:extLst>
              <c:ext xmlns:c16="http://schemas.microsoft.com/office/drawing/2014/chart" uri="{C3380CC4-5D6E-409C-BE32-E72D297353CC}">
                <c16:uniqueId val="{0000001D-AE59-4DC4-BF3B-80BCC66A3548}"/>
              </c:ext>
            </c:extLst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E59-4DC4-BF3B-80BCC66A3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E59-4DC4-BF3B-80BCC66A3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29728"/>
        <c:axId val="370730120"/>
      </c:scatterChart>
      <c:valAx>
        <c:axId val="370729728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70730120"/>
        <c:crosses val="autoZero"/>
        <c:crossBetween val="midCat"/>
        <c:majorUnit val="1"/>
      </c:valAx>
      <c:valAx>
        <c:axId val="37073012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370729728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</xdr:row>
          <xdr:rowOff>83820</xdr:rowOff>
        </xdr:from>
        <xdr:to>
          <xdr:col>10</xdr:col>
          <xdr:colOff>3108960</xdr:colOff>
          <xdr:row>4</xdr:row>
          <xdr:rowOff>167640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38100</xdr:rowOff>
        </xdr:from>
        <xdr:to>
          <xdr:col>10</xdr:col>
          <xdr:colOff>1813560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29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221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222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222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68580</xdr:colOff>
                <xdr:row>1</xdr:row>
                <xdr:rowOff>83820</xdr:rowOff>
              </from>
              <to>
                <xdr:col>10</xdr:col>
                <xdr:colOff>3108960</xdr:colOff>
                <xdr:row>4</xdr:row>
                <xdr:rowOff>167640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3" activePane="bottomLeft" state="frozen"/>
      <selection activeCell="B148" sqref="B148"/>
      <selection pane="bottomLeft" activeCell="F21" sqref="F21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41" t="str">
        <f>VLOOKUP(VALUE(MID(H4,6,3)),constants!A51:B58,2,FALSE)&amp;" ms"</f>
        <v>512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41" t="str">
        <f>VLOOKUP(BIN2DEC(MID(H5,6,3)),constants!A78:B85,2,FALSE)&amp;" ms"</f>
        <v>16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31" t="str">
        <f>"v_hrv_min: "&amp;TEXT((BIN2DEC(MID(H7,3,6))+1)*constants!C64,"0.000")&amp;" V (TYP)"</f>
        <v>v_hrv_min: 0.146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31" t="str">
        <f>(BIN2DEC(MID(H8,5,4))+1)&amp;" µA"</f>
        <v>14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39</v>
      </c>
      <c r="G10" s="146" t="str">
        <f t="shared" si="0"/>
        <v>0x39</v>
      </c>
      <c r="H10" s="150" t="str">
        <f t="shared" si="1"/>
        <v>00111001</v>
      </c>
      <c r="I10" s="231" t="str">
        <f>TEXT((BIN2DEC(MID(H10,3,6))+1)*constants!$C$64,"0.000")&amp;" V (TYP)"</f>
        <v>4.234 V (TYP)</v>
      </c>
      <c r="J10" s="231"/>
      <c r="K10" s="232"/>
      <c r="L10" s="145">
        <f t="shared" ref="L10:L16" si="2">BIN2DEC(H10)</f>
        <v>57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38</v>
      </c>
      <c r="G11" s="146" t="str">
        <f t="shared" si="0"/>
        <v>0x38</v>
      </c>
      <c r="H11" s="150" t="str">
        <f t="shared" si="1"/>
        <v>00111000</v>
      </c>
      <c r="I11" s="231" t="str">
        <f>TEXT((BIN2DEC(MID(H11,3,6))+1)*constants!$C$64,"0.000")&amp;" V (TYP)"</f>
        <v>4.161 V (TYP)</v>
      </c>
      <c r="J11" s="231"/>
      <c r="K11" s="232"/>
      <c r="L11" s="145">
        <f t="shared" si="2"/>
        <v>56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>
        <v>31</v>
      </c>
      <c r="G12" s="146" t="str">
        <f t="shared" si="0"/>
        <v>0x31</v>
      </c>
      <c r="H12" s="150" t="str">
        <f t="shared" si="1"/>
        <v>00110001</v>
      </c>
      <c r="I12" s="231" t="str">
        <f>TEXT((BIN2DEC(MID(H12,3,6))+1)*constants!$C$64,"0.000")&amp;" V (TYP)"</f>
        <v>3.650 V (TYP)</v>
      </c>
      <c r="J12" s="231"/>
      <c r="K12" s="232"/>
      <c r="L12" s="145">
        <f t="shared" si="2"/>
        <v>49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697</v>
      </c>
      <c r="G13" s="146" t="str">
        <f t="shared" si="0"/>
        <v>0x1c</v>
      </c>
      <c r="H13" s="150" t="str">
        <f t="shared" si="1"/>
        <v>00011100</v>
      </c>
      <c r="I13" s="231" t="str">
        <f>TEXT((BIN2DEC(MID(H13,3,6))+1)*constants!$C$64,"0.000")&amp;" V (TYP)"</f>
        <v>2.117 V (TYP)</v>
      </c>
      <c r="J13" s="231"/>
      <c r="K13" s="232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 t="s">
        <v>696</v>
      </c>
      <c r="G14" s="146" t="str">
        <f t="shared" si="0"/>
        <v>0x1b</v>
      </c>
      <c r="H14" s="150" t="str">
        <f t="shared" si="1"/>
        <v>00011011</v>
      </c>
      <c r="I14" s="231" t="str">
        <f>TEXT((BIN2DEC(MID(H14,3,6))+1)*constants!$C$64,"0.000")&amp;" V (TYP)"</f>
        <v>2.044 V (TYP)</v>
      </c>
      <c r="J14" s="231"/>
      <c r="K14" s="232"/>
      <c r="L14" s="145">
        <f t="shared" si="2"/>
        <v>27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31" t="str">
        <f>TEXT((BIN2DEC(MID(H15,3,6))+1)*constants!$C$64,"0.000")&amp;" V (TYP)"</f>
        <v>3.796 V (TYP)</v>
      </c>
      <c r="J15" s="231"/>
      <c r="K15" s="232"/>
      <c r="L15" s="145">
        <f t="shared" si="2"/>
        <v>51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>
        <v>32</v>
      </c>
      <c r="G16" s="146" t="str">
        <f t="shared" si="0"/>
        <v>0x32</v>
      </c>
      <c r="H16" s="150" t="str">
        <f t="shared" si="1"/>
        <v>00110010</v>
      </c>
      <c r="I16" s="231" t="str">
        <f>TEXT((BIN2DEC(MID(H16,3,6))+1)*constants!$C$64,"0.000")&amp;" V (TYP)"</f>
        <v>3.723 V (TYP)</v>
      </c>
      <c r="J16" s="231"/>
      <c r="K16" s="232"/>
      <c r="L16" s="145">
        <f t="shared" si="2"/>
        <v>50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31" t="str">
        <f>"ULP LDO: "&amp;VLOOKUP(VALUE(MID($H$17,6,3)),constants!$A$114:$B$121,2,FALSE)&amp;" V"</f>
        <v>ULP LDO: 2.2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0</v>
      </c>
      <c r="G21" s="146" t="str">
        <f t="shared" si="0"/>
        <v>0x00</v>
      </c>
      <c r="H21" s="150" t="str">
        <f t="shared" si="1"/>
        <v>00000000</v>
      </c>
      <c r="I21" s="239" t="str">
        <f>TEXT(HLOOKUP(VALUE(MID(H21,5,4)),constants!B5:Q6,2,FALSE),"0%")</f>
        <v>50%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0:1:1:0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22860</xdr:colOff>
                <xdr:row>0</xdr:row>
                <xdr:rowOff>38100</xdr:rowOff>
              </from>
              <to>
                <xdr:col>10</xdr:col>
                <xdr:colOff>1813560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0x39</v>
      </c>
    </row>
    <row r="9" spans="1:2" x14ac:dyDescent="0.3">
      <c r="A9" s="3" t="str">
        <f>'register map'!B11</f>
        <v>0x48</v>
      </c>
      <c r="B9" s="3" t="str">
        <f>'register map'!G11</f>
        <v>0x38</v>
      </c>
    </row>
    <row r="10" spans="1:2" x14ac:dyDescent="0.3">
      <c r="A10" s="3" t="str">
        <f>'register map'!B12</f>
        <v>0x49</v>
      </c>
      <c r="B10" s="3" t="str">
        <f>'register map'!G12</f>
        <v>0x31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0x1b</v>
      </c>
    </row>
    <row r="13" spans="1:2" x14ac:dyDescent="0.3">
      <c r="A13" s="3" t="str">
        <f>'register map'!B15</f>
        <v>0x4C</v>
      </c>
      <c r="B13" s="3" t="str">
        <f>'register map'!G15</f>
        <v>0x33</v>
      </c>
    </row>
    <row r="14" spans="1:2" x14ac:dyDescent="0.3">
      <c r="A14" s="3" t="str">
        <f>'register map'!B16</f>
        <v>0x4D</v>
      </c>
      <c r="B14" s="3" t="str">
        <f>'register map'!G16</f>
        <v>0x32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0x00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TheKing</cp:lastModifiedBy>
  <cp:lastPrinted>2015-07-10T08:56:19Z</cp:lastPrinted>
  <dcterms:created xsi:type="dcterms:W3CDTF">2015-05-15T08:52:42Z</dcterms:created>
  <dcterms:modified xsi:type="dcterms:W3CDTF">2016-04-16T07:52:10Z</dcterms:modified>
</cp:coreProperties>
</file>