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3_ba_bicycle_comp\Configurationsdateien\"/>
    </mc:Choice>
  </mc:AlternateContent>
  <workbookProtection workbookPassword="9051" lockStructure="1"/>
  <bookViews>
    <workbookView xWindow="-12" yWindow="-12" windowWidth="14400" windowHeight="12240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<sst xmlns="http://schemas.openxmlformats.org/spreadsheetml/2006/main" count="1187" uniqueCount="700">
  <si>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</si>
  <si>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</si>
  <si>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</si>
  <si>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</si>
  <si>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</si>
  <si>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</si>
  <si>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</si>
  <si>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</si>
  <si>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</si>
  <si>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</si>
  <si>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</si>
  <si>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</si>
  <si>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</si>
  <si>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</si>
  <si>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</si>
  <si>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</si>
  <si>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</si>
  <si>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</si>
  <si>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</si>
  <si>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</si>
  <si>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</si>
  <si>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</si>
  <si>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</si>
  <si>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</si>
  <si>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</si>
  <si>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</si>
  <si>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</si>
  <si>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</si>
  <si>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</si>
  <si>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</si>
  <si>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</si>
  <si>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</si>
  <si>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</si>
  <si>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</si>
  <si>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</si>
  <si>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</si>
  <si>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</si>
  <si>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</si>
  <si>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</si>
  <si>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</si>
  <si>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</si>
  <si>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</si>
  <si>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</si>
  <si>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</si>
  <si>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</si>
  <si>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</si>
  <si>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</si>
  <si>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</si>
  <si>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</si>
  <si>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</si>
  <si>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</si>
  <si>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</si>
  <si>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</si>
  <si>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</si>
  <si>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</si>
  <si>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</si>
  <si>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</si>
  <si>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</si>
  <si>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</si>
  <si>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</si>
  <si>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</si>
  <si>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</si>
  <si>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</si>
  <si>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</si>
  <si>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</si>
  <si>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</si>
  <si>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</si>
  <si>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</si>
  <si>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</si>
  <si>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</si>
  <si>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</si>
  <si>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</si>
  <si>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</si>
  <si>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</si>
  <si>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</si>
  <si>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</si>
  <si>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</si>
  <si>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</si>
  <si>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</si>
  <si>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</si>
  <si>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</si>
  <si>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</si>
  <si>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</si>
  <si>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</si>
  <si>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</si>
  <si>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</si>
  <si>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</si>
  <si>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</si>
  <si>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</si>
  <si>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</si>
  <si>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</si>
  <si>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</si>
  <si>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</si>
  <si>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</si>
  <si>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</si>
  <si>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</si>
  <si>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</si>
  <si>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</si>
  <si>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</si>
  <si>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</si>
  <si>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</si>
  <si>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</si>
  <si>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</si>
  <si>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</si>
  <si>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</si>
  <si>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</si>
  <si>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</si>
  <si>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</si>
  <si>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</si>
  <si>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</si>
  <si>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</si>
  <si>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</si>
  <si>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</si>
  <si>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</si>
  <si>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</si>
  <si>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</si>
  <si>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</si>
  <si>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</si>
  <si>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</si>
  <si>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</si>
  <si>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</si>
  <si>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</si>
  <si>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</si>
  <si>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</si>
  <si>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</si>
  <si>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</si>
  <si>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</si>
  <si>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</si>
  <si>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</si>
  <si>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</si>
  <si>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</si>
  <si>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</si>
  <si>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</si>
  <si>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</si>
  <si>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</si>
  <si>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</si>
  <si>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</si>
  <si>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</si>
  <si>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</si>
  <si>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</si>
  <si>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</si>
  <si>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</si>
  <si>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</si>
  <si>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</si>
  <si>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</si>
  <si>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</si>
  <si>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</si>
  <si>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</si>
  <si>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</si>
  <si>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</si>
  <si>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</si>
  <si>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</si>
  <si>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</si>
  <si>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</si>
  <si>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</si>
  <si>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</si>
  <si>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</si>
  <si>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</si>
  <si>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</si>
  <si>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</si>
  <si>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</si>
  <si>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</si>
  <si>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</si>
  <si>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</si>
  <si>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</si>
  <si>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</si>
  <si>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</si>
  <si>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</si>
  <si>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</si>
  <si>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</si>
  <si>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</si>
  <si>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</si>
  <si>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</si>
  <si>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</si>
  <si>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</si>
  <si>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</si>
  <si>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</si>
  <si>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</si>
  <si>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</si>
  <si>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</si>
  <si>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</si>
  <si>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</si>
  <si>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</si>
  <si>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</si>
  <si>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</si>
  <si>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</si>
  <si>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</si>
  <si>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</si>
  <si>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</si>
  <si>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</si>
  <si>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</si>
  <si>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</si>
  <si>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</si>
  <si>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</si>
  <si>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</si>
  <si>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</si>
  <si>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</si>
  <si>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</si>
  <si>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</si>
  <si>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</si>
  <si>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</si>
  <si>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</si>
  <si>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</si>
  <si>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</si>
  <si>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</si>
  <si>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</si>
  <si>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</si>
  <si>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</si>
  <si>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</si>
  <si>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</si>
  <si>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</si>
  <si>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</si>
  <si>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</si>
  <si>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</si>
  <si>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</si>
  <si>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</si>
  <si>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</si>
  <si>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</si>
  <si>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</si>
  <si>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</si>
  <si>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</si>
  <si>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</si>
  <si>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</si>
  <si>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</si>
  <si>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</si>
  <si>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</si>
  <si>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</si>
  <si>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</si>
  <si>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</si>
  <si>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</si>
  <si>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</si>
  <si>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</si>
  <si>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</si>
  <si>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</si>
  <si>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</si>
  <si>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</si>
  <si>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</si>
  <si>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</si>
  <si>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</si>
  <si>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</si>
  <si>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</si>
  <si>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</si>
  <si>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</si>
  <si>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</si>
  <si>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</si>
  <si>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</si>
  <si>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</si>
  <si>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</si>
  <si>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</si>
  <si>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</si>
  <si>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</si>
  <si>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</si>
  <si>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</si>
  <si>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</si>
  <si>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</si>
  <si>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</si>
  <si>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</si>
  <si>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</si>
  <si>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</si>
  <si>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</si>
  <si>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</si>
  <si>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</si>
  <si>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</si>
  <si>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</si>
  <si>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</si>
  <si>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</si>
  <si>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</si>
  <si>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</si>
  <si>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</si>
  <si>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</si>
  <si>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</si>
  <si>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</si>
  <si>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</si>
  <si>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</si>
  <si>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</si>
  <si>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</si>
  <si>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</si>
  <si>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</si>
  <si>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</si>
  <si>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</si>
  <si>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</si>
  <si>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</si>
  <si>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</si>
  <si>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</si>
  <si>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</si>
  <si>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</si>
  <si>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</si>
  <si>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</si>
  <si>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</si>
  <si>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</si>
  <si>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</si>
  <si>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</si>
  <si>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</si>
  <si>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</si>
  <si>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</si>
  <si>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</si>
  <si>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</si>
  <si>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</si>
  <si>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</si>
  <si>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</si>
  <si>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</si>
  <si>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</si>
  <si>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</si>
  <si>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</si>
  <si>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</si>
  <si>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</si>
  <si>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</si>
  <si>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</si>
  <si>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</si>
  <si>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</si>
  <si>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</si>
  <si>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</si>
  <si>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</si>
  <si>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</si>
  <si>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</si>
  <si>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</si>
  <si>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</si>
  <si>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</si>
  <si>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</si>
  <si>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</si>
  <si>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</si>
  <si>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</si>
  <si>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</si>
  <si>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</si>
  <si>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</si>
  <si>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</si>
  <si>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</si>
  <si>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</si>
  <si>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</si>
  <si>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</si>
  <si>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</si>
  <si>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</si>
  <si>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</si>
  <si>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</si>
  <si>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</si>
  <si>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</si>
  <si>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</si>
  <si>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</si>
  <si>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</si>
  <si>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</si>
  <si>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</si>
  <si>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</si>
  <si>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</si>
  <si>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</si>
  <si>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</si>
  <si>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</si>
  <si>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</si>
  <si>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</si>
  <si>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</si>
  <si>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</si>
  <si>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</si>
  <si>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</si>
  <si>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</si>
  <si>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</si>
  <si>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</si>
  <si>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</si>
  <si>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</si>
  <si>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</si>
  <si>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</si>
  <si>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</si>
  <si>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</si>
  <si>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</si>
  <si>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</si>
  <si>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</si>
  <si>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</si>
  <si>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</si>
  <si>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</si>
  <si>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</si>
  <si>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</si>
  <si>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</si>
  <si>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</si>
  <si>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</si>
  <si>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</si>
  <si>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</si>
  <si>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</si>
  <si>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</si>
  <si>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</si>
  <si>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</si>
  <si>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</si>
  <si>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</si>
  <si>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</si>
  <si>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</si>
  <si>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</si>
  <si>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</si>
  <si>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</si>
  <si>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</si>
  <si>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</si>
  <si>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</si>
  <si>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</si>
  <si>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</si>
  <si>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</si>
  <si>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</si>
  <si>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</si>
  <si>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</si>
  <si>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</si>
  <si>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</si>
  <si>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</si>
  <si>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</si>
  <si>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</si>
  <si>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</si>
  <si>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</si>
  <si>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</si>
  <si>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</si>
  <si>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</si>
  <si>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</si>
  <si>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</si>
  <si>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</si>
  <si>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</si>
  <si>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</si>
  <si>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</si>
  <si>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</si>
  <si>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</si>
  <si>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</si>
  <si>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</si>
  <si>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</si>
  <si>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</si>
  <si>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</si>
  <si>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</si>
  <si>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</si>
  <si>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</si>
  <si>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</si>
  <si>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</si>
  <si>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</si>
  <si>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</si>
  <si>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</si>
  <si>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</si>
  <si>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</si>
  <si>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</si>
  <si>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</si>
  <si>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</si>
  <si>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</si>
  <si>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</si>
  <si>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</si>
  <si>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</si>
  <si>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</si>
  <si>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</si>
  <si>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</si>
  <si>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</si>
  <si>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</si>
  <si>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</si>
  <si>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</si>
  <si>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</si>
  <si>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</si>
  <si>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</si>
  <si>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</si>
  <si>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</si>
  <si>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</si>
  <si>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</si>
  <si>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</si>
  <si>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</si>
  <si>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</si>
  <si>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</si>
  <si>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</si>
  <si>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</si>
  <si>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</si>
  <si>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</si>
  <si>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</si>
  <si>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</si>
  <si>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</si>
  <si>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</si>
  <si>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</si>
  <si>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</si>
  <si>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</si>
  <si>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</si>
  <si>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</si>
  <si>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</si>
  <si>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</si>
  <si>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</si>
  <si>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</si>
  <si>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</si>
  <si>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</si>
  <si>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</si>
  <si>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</si>
  <si>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</si>
  <si>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</si>
  <si>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</si>
  <si>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</si>
  <si>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</si>
  <si>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</si>
  <si>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</si>
  <si>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</si>
  <si>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</si>
  <si>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</si>
  <si>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</si>
  <si>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</si>
  <si>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</si>
  <si>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</si>
  <si>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</si>
  <si>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</si>
  <si>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</si>
  <si>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</si>
  <si>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</si>
  <si>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</si>
  <si>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</si>
  <si>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</si>
  <si>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</si>
  <si>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</si>
  <si>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</si>
  <si>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</si>
  <si>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</si>
  <si>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</si>
  <si>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</si>
  <si>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</si>
  <si>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</si>
  <si>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</si>
  <si>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</si>
  <si>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</si>
  <si>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</si>
  <si>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</si>
  <si>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</si>
  <si>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</si>
  <si>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</si>
  <si>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</si>
  <si>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</si>
  <si>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</si>
  <si>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</si>
  <si>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</si>
  <si>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</si>
  <si>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</si>
  <si>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</si>
  <si>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</si>
  <si>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</si>
  <si>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</si>
  <si>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</si>
  <si>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</si>
  <si>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</si>
  <si>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</si>
  <si>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</si>
  <si>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</si>
  <si>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</si>
  <si>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</si>
  <si>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</si>
  <si>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</si>
  <si>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</si>
  <si>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</si>
  <si>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</si>
  <si>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</si>
  <si>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</si>
  <si>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</si>
  <si>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</si>
  <si>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</si>
  <si>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</si>
  <si>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</si>
  <si>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</si>
  <si>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</si>
  <si>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</si>
  <si>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</si>
  <si>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</si>
  <si>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</si>
  <si>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</si>
  <si>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</si>
  <si>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</si>
  <si>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</si>
  <si>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</si>
  <si>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</si>
  <si>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</si>
  <si>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</si>
  <si>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</si>
  <si>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</si>
  <si>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</si>
  <si>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</si>
  <si>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</si>
  <si>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</si>
  <si>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</si>
  <si>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</si>
  <si>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</si>
  <si>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</si>
  <si>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</si>
  <si>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</si>
  <si>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</si>
  <si>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</si>
  <si>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</si>
  <si>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</si>
  <si>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</si>
  <si>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</si>
  <si>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</si>
  <si>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</si>
  <si>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</si>
  <si>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</si>
  <si>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</si>
  <si>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</si>
  <si>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</si>
  <si>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</si>
  <si>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</si>
  <si>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</si>
  <si>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</si>
  <si>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</si>
  <si>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</si>
  <si>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</si>
  <si>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</si>
  <si>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</si>
  <si>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</si>
  <si>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</si>
  <si>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</si>
  <si>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</si>
  <si>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</si>
  <si>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</si>
  <si>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</si>
  <si>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</si>
  <si>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</si>
  <si>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</si>
  <si>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</si>
  <si>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</si>
  <si>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</si>
  <si>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</si>
  <si>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</si>
  <si>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</si>
  <si>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</si>
  <si>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</si>
  <si>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</si>
  <si>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</si>
  <si>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</si>
  <si>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</si>
  <si>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</si>
  <si>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</si>
  <si>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</si>
  <si>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</si>
  <si>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</si>
  <si>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</si>
  <si>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</si>
  <si>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</si>
  <si>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</si>
  <si>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</si>
  <si>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</si>
  <si>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</si>
  <si>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</si>
  <si>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</si>
  <si>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</si>
  <si>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</si>
  <si>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</si>
  <si>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</si>
  <si>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</si>
  <si>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</si>
  <si>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</si>
  <si>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</si>
  <si>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</si>
  <si>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</si>
  <si>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</si>
  <si>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</si>
  <si>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</si>
  <si>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</si>
  <si>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</si>
  <si>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</si>
  <si>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</si>
  <si>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</si>
  <si>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</si>
  <si>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</si>
  <si>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</si>
  <si>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</si>
  <si>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</si>
  <si>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</si>
  <si>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</si>
  <si>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</si>
  <si>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</si>
  <si>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</si>
  <si>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</si>
  <si>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</si>
  <si>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</si>
  <si>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</si>
  <si>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</si>
  <si>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</si>
  <si>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</si>
  <si>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</si>
  <si>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</si>
  <si>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</si>
  <si>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</si>
  <si>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</si>
  <si>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</si>
  <si>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</si>
  <si>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</si>
  <si>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</si>
  <si>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</si>
  <si>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</si>
  <si>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</si>
  <si>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</si>
  <si>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</si>
  <si>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</si>
  <si>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</si>
  <si>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</si>
  <si>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</si>
  <si>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</si>
  <si>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</si>
  <si>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</si>
  <si>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</si>
  <si>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</si>
  <si>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</si>
  <si>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</si>
  <si>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</si>
  <si>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</si>
  <si>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</si>
  <si>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</si>
  <si>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</si>
  <si>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</si>
  <si>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</si>
  <si>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</si>
  <si>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3F</t>
  </si>
  <si>
    <t>3E</t>
  </si>
  <si>
    <t>1C</t>
  </si>
  <si>
    <t>1E</t>
  </si>
  <si>
    <t>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</si>
</sst>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729728"/>
        <c:axId val="370730120"/>
      </c:scatterChart>
      <c:valAx>
        <c:axId val="370729728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70730120"/>
        <c:crosses val="autoZero"/>
        <c:crossBetween val="midCat"/>
        <c:majorUnit val="1"/>
      </c:valAx>
      <c:valAx>
        <c:axId val="37073012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370729728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/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</xdr:row>
          <xdr:rowOff>83820</xdr:rowOff>
        </xdr:from>
        <xdr:to>
          <xdr:col>10</xdr:col>
          <xdr:colOff>3200400</xdr:colOff>
          <xdr:row>4</xdr:row>
          <xdr:rowOff>144780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38100</xdr:rowOff>
        </xdr:from>
        <xdr:to>
          <xdr:col>10</xdr:col>
          <xdr:colOff>1813560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6" zoomScaleNormal="89" zoomScaleSheetLayoutView="86" workbookViewId="0">
      <pane ySplit="7" topLeftCell="A29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" x14ac:dyDescent="0.3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3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3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211"/>
      <c r="G4" s="214"/>
      <c r="H4" s="214"/>
      <c r="I4" s="214"/>
      <c r="J4" s="214"/>
      <c r="K4" s="215"/>
    </row>
    <row r="5" spans="1:12" x14ac:dyDescent="0.3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" thickBot="1" x14ac:dyDescent="0.35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3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3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3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3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3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3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3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3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3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3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3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3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189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189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190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190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3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3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68580</xdr:colOff>
                <xdr:row>1</xdr:row>
                <xdr:rowOff>83820</xdr:rowOff>
              </from>
              <to>
                <xdr:col>10</xdr:col>
                <xdr:colOff>3108960</xdr:colOff>
                <xdr:row>4</xdr:row>
                <xdr:rowOff>167640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3" activePane="bottomLeft" state="frozen"/>
      <selection activeCell="B148" sqref="B148"/>
      <selection pane="bottomLeft" activeCell="F18" sqref="F18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3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23" t="str">
        <f>VLOOKUP(VALUE(MID(H3,6,3)),constants!A51:C58,3,FALSE)&amp;" ms"</f>
        <v>8192 ms</v>
      </c>
      <c r="J3" s="223"/>
      <c r="K3" s="224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23" t="str">
        <f>VLOOKUP(VALUE(MID(H4,6,3)),constants!A51:B58,2,FALSE)&amp;" ms"</f>
        <v>512 ms</v>
      </c>
      <c r="J4" s="223"/>
      <c r="K4" s="224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23" t="str">
        <f>VLOOKUP(BIN2DEC(MID(H5,6,3)),constants!A78:B85,2,FALSE)&amp;" ms"</f>
        <v>16 ms</v>
      </c>
      <c r="J5" s="223"/>
      <c r="K5" s="224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23" t="str">
        <f>VLOOKUP(BIN2DEC(MID(H6,6,3)),constants!A88:B95,2,FALSE)&amp;" ms"</f>
        <v>16384 ms</v>
      </c>
      <c r="J6" s="223"/>
      <c r="K6" s="224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25" t="str">
        <f>"v_hrv_min: "&amp;TEXT((BIN2DEC(MID(H7,3,6))+1)*constants!C64,"0.000")&amp;" V (TYP)"</f>
        <v>v_hrv_min: 0.146 V (TYP)</v>
      </c>
      <c r="K7" s="226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25" t="str">
        <f>(BIN2DEC(MID(H8,5,4))+1)&amp;" µA"</f>
        <v>14 µA</v>
      </c>
      <c r="J8" s="225"/>
      <c r="K8" s="226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 t="s">
        <v>695</v>
      </c>
      <c r="G10" s="146" t="str">
        <f t="shared" si="0"/>
        <v>0x3F</v>
      </c>
      <c r="H10" s="150" t="str">
        <f t="shared" si="1"/>
        <v>00111111</v>
      </c>
      <c r="I10" s="225" t="str">
        <f>TEXT((BIN2DEC(MID(H10,3,6))+1)*constants!$C$64,"0.000")&amp;" V (TYP)"</f>
        <v>4.672 V (TYP)</v>
      </c>
      <c r="J10" s="225"/>
      <c r="K10" s="226"/>
      <c r="L10" s="145">
        <f t="shared" ref="L10:L16" si="2">BIN2DEC(H10)</f>
        <v>63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 t="s">
        <v>696</v>
      </c>
      <c r="G11" s="146" t="str">
        <f t="shared" si="0"/>
        <v>0x3E</v>
      </c>
      <c r="H11" s="150" t="str">
        <f t="shared" si="1"/>
        <v>00111110</v>
      </c>
      <c r="I11" s="225" t="str">
        <f>TEXT((BIN2DEC(MID(H11,3,6))+1)*constants!$C$64,"0.000")&amp;" V (TYP)"</f>
        <v>4.599 V (TYP)</v>
      </c>
      <c r="J11" s="225"/>
      <c r="K11" s="226"/>
      <c r="L11" s="145">
        <f t="shared" si="2"/>
        <v>62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 t="s">
        <v>698</v>
      </c>
      <c r="G12" s="146" t="str">
        <f t="shared" si="0"/>
        <v>0x1E</v>
      </c>
      <c r="H12" s="150" t="str">
        <f t="shared" si="1"/>
        <v>00011110</v>
      </c>
      <c r="I12" s="225" t="str">
        <f>TEXT((BIN2DEC(MID(H12,3,6))+1)*constants!$C$64,"0.000")&amp;" V (TYP)"</f>
        <v>2.263 V (TYP)</v>
      </c>
      <c r="J12" s="225"/>
      <c r="K12" s="226"/>
      <c r="L12" s="145">
        <f t="shared" si="2"/>
        <v>30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697</v>
      </c>
      <c r="G13" s="146" t="str">
        <f t="shared" si="0"/>
        <v>0x1C</v>
      </c>
      <c r="H13" s="150" t="str">
        <f t="shared" si="1"/>
        <v>00011100</v>
      </c>
      <c r="I13" s="225" t="str">
        <f>TEXT((BIN2DEC(MID(H13,3,6))+1)*constants!$C$64,"0.000")&amp;" V (TYP)"</f>
        <v>2.117 V (TYP)</v>
      </c>
      <c r="J13" s="225"/>
      <c r="K13" s="226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>
        <v>18</v>
      </c>
      <c r="G14" s="146" t="str">
        <f t="shared" si="0"/>
        <v>0x18</v>
      </c>
      <c r="H14" s="150" t="str">
        <f t="shared" si="1"/>
        <v>00011000</v>
      </c>
      <c r="I14" s="225" t="str">
        <f>TEXT((BIN2DEC(MID(H14,3,6))+1)*constants!$C$64,"0.000")&amp;" V (TYP)"</f>
        <v>1.825 V (TYP)</v>
      </c>
      <c r="J14" s="225"/>
      <c r="K14" s="226"/>
      <c r="L14" s="145">
        <f t="shared" si="2"/>
        <v>24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>
        <v>25</v>
      </c>
      <c r="G15" s="146" t="str">
        <f t="shared" si="0"/>
        <v>0x25</v>
      </c>
      <c r="H15" s="150" t="str">
        <f t="shared" si="1"/>
        <v>00100101</v>
      </c>
      <c r="I15" s="225" t="str">
        <f>TEXT((BIN2DEC(MID(H15,3,6))+1)*constants!$C$64,"0.000")&amp;" V (TYP)"</f>
        <v>2.774 V (TYP)</v>
      </c>
      <c r="J15" s="225"/>
      <c r="K15" s="226"/>
      <c r="L15" s="145">
        <f t="shared" si="2"/>
        <v>37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/>
      <c r="G16" s="146" t="str">
        <f t="shared" si="0"/>
        <v>0x21</v>
      </c>
      <c r="H16" s="150" t="str">
        <f t="shared" si="1"/>
        <v>00100001</v>
      </c>
      <c r="I16" s="225" t="str">
        <f>TEXT((BIN2DEC(MID(H16,3,6))+1)*constants!$C$64,"0.000")&amp;" V (TYP)"</f>
        <v>2.482 V (TYP)</v>
      </c>
      <c r="J16" s="225"/>
      <c r="K16" s="226"/>
      <c r="L16" s="145">
        <f t="shared" si="2"/>
        <v>33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699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25" t="str">
        <f>"ULP LDO: "&amp;VLOOKUP(VALUE(MID($H$17,6,3)),constants!$A$114:$B$121,2,FALSE)&amp;" V"</f>
        <v>ULP LDO: 2.2 V</v>
      </c>
      <c r="K17" s="226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33"/>
      <c r="J18" s="233"/>
      <c r="K18" s="234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2</v>
      </c>
      <c r="G21" s="146" t="str">
        <f t="shared" si="0"/>
        <v>0x02</v>
      </c>
      <c r="H21" s="150" t="str">
        <f t="shared" si="1"/>
        <v>00000010</v>
      </c>
      <c r="I21" s="245" t="str">
        <f>TEXT(HLOOKUP(VALUE(MID(H21,5,4)),constants!B5:Q6,2,FALSE),"0%")</f>
        <v>67%</v>
      </c>
      <c r="J21" s="245"/>
      <c r="K21" s="246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0:1:1:0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25" t="str">
        <f>"t_lts_hrv_low_period: "&amp;VLOOKUP(BIN2DEC(MID(H26,6,3)),constants!A98:B105,2,FALSE)&amp;" ms"</f>
        <v>t_lts_hrv_low_period: 32768 ms</v>
      </c>
      <c r="K26" s="226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37"/>
      <c r="J28" s="237"/>
      <c r="K28" s="238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22860</xdr:colOff>
                <xdr:row>0</xdr:row>
                <xdr:rowOff>38100</xdr:rowOff>
              </from>
              <to>
                <xdr:col>10</xdr:col>
                <xdr:colOff>1813560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0x3F</v>
      </c>
    </row>
    <row r="9" spans="1:2" x14ac:dyDescent="0.3">
      <c r="A9" s="3" t="str">
        <f>'register map'!B11</f>
        <v>0x48</v>
      </c>
      <c r="B9" s="3" t="str">
        <f>'register map'!G11</f>
        <v>0x3E</v>
      </c>
    </row>
    <row r="10" spans="1:2" x14ac:dyDescent="0.3">
      <c r="A10" s="3" t="str">
        <f>'register map'!B12</f>
        <v>0x49</v>
      </c>
      <c r="B10" s="3" t="str">
        <f>'register map'!G12</f>
        <v>0x1E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0x18</v>
      </c>
    </row>
    <row r="13" spans="1:2" x14ac:dyDescent="0.3">
      <c r="A13" s="3" t="str">
        <f>'register map'!B15</f>
        <v>0x4C</v>
      </c>
      <c r="B13" s="3" t="str">
        <f>'register map'!G15</f>
        <v>0x25</v>
      </c>
    </row>
    <row r="14" spans="1:2" x14ac:dyDescent="0.3">
      <c r="A14" s="3" t="str">
        <f>'register map'!B16</f>
        <v>0x4D</v>
      </c>
      <c r="B14" s="3" t="str">
        <f>'register map'!G16</f>
        <v>0x21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0x02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2015-07-10T08:56:19Z</cp:lastPrinted>
  <dcterms:created xsi:type="dcterms:W3CDTF">2015-05-15T08:52:42Z</dcterms:created>
  <dcterms:modified xsi:type="dcterms:W3CDTF">2016-03-02T16:30:07Z</dcterms:modified>
</cp:coreProperties>
</file>